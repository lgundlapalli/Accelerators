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fileSharing readOnlyRecommended="1"/>
  <workbookPr codeName="ThisWorkbook"/>
  <mc:AlternateContent xmlns:mc="http://schemas.openxmlformats.org/markup-compatibility/2006">
    <mc:Choice Requires="x15">
      <x15ac:absPath xmlns:x15ac="http://schemas.microsoft.com/office/spreadsheetml/2010/11/ac" url="https://abbott.sharepoint.com/sites/US-BTS-AAStrategy/Shared Documents/AI-GAI COE/8_GAI Portfolio and Shaping/02. Shaping Resources/"/>
    </mc:Choice>
  </mc:AlternateContent>
  <xr:revisionPtr revIDLastSave="2182" documentId="8_{DA677E42-E294-5C45-B2DE-51C489F7F30A}" xr6:coauthVersionLast="47" xr6:coauthVersionMax="47" xr10:uidLastSave="{FB71C26E-54F4-4404-9062-BD143F3E942E}"/>
  <bookViews>
    <workbookView xWindow="12480" yWindow="-16320" windowWidth="29040" windowHeight="15720" tabRatio="751" firstSheet="1" activeTab="5" xr2:uid="{00000000-000D-0000-FFFF-FFFF00000000}"/>
  </bookViews>
  <sheets>
    <sheet name="SaaS Tools  GAI Capabilities" sheetId="8" r:id="rId1"/>
    <sheet name="Official WebSite Catalog Refere" sheetId="11" r:id="rId2"/>
    <sheet name="Approved Usecases" sheetId="6" r:id="rId3"/>
    <sheet name="Drop down list" sheetId="3" state="hidden" r:id="rId4"/>
    <sheet name="GenAI Capability" sheetId="2" state="hidden" r:id="rId5"/>
    <sheet name="Sheet1" sheetId="12" r:id="rId6"/>
  </sheets>
  <definedNames>
    <definedName name="_xlnm._FilterDatabase" localSheetId="1" hidden="1">'Official WebSite Catalog Refere'!$A$1:$R$1</definedName>
    <definedName name="_xlnm._FilterDatabase" localSheetId="0" hidden="1">'SaaS Tools  GAI Capabilities'!$A$3:$V$3</definedName>
  </definedNames>
  <calcPr calcId="191028"/>
  <pivotCaches>
    <pivotCache cacheId="151"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3" i="6" l="1"/>
  <c r="I34" i="6" s="1"/>
  <c r="H33" i="6"/>
  <c r="H34" i="6" s="1"/>
  <c r="I19" i="6"/>
  <c r="I20" i="6" s="1"/>
  <c r="H19" i="6"/>
  <c r="H20" i="6" s="1"/>
  <c r="I2" i="6"/>
  <c r="H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tc={D35BBBF3-084B-427A-BA6F-46914E174592}</author>
    <author>tc={F85EF5D2-D7B9-4DEE-8024-D7194946D41D}</author>
    <author>tc={15541674-D7BA-4AE7-9265-F5CD0C72DEE5}</author>
  </authors>
  <commentList>
    <comment ref="P3" authorId="0" shapeId="0" xr:uid="{D35BBBF3-084B-427A-BA6F-46914E17459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@Atkinson, Robyn E - Cyber and risk Review status</t>
      </text>
    </comment>
    <comment ref="M44" authorId="1" shapeId="0" xr:uid="{F85EF5D2-D7B9-4DEE-8024-D7194946D41D}">
      <text>
        <t>[Threaded comment]
Your version of Excel allows you to read this threaded comment; however, any edits to it will get removed if the file is opened in a newer version of Excel. Learn more: https://go.microsoft.com/fwlink/?linkid=870924
Comment:
    Not needed by team now as off 5/5</t>
      </text>
    </comment>
    <comment ref="C78" authorId="2" shapeId="0" xr:uid="{15541674-D7BA-4AE7-9265-F5CD0C72DEE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@Kachana, Karthik R - can we consolidate this into 3 - Salesforce Einstein, Salesforce Agents, Salesforce Marketing Cloud
Reply:
    @Gundlapalli, Lalitha I have combined it based on the different cloud offerings to ensure it resonates with Abbott's thoughts about salesforce offerings and capabilities.</t>
      </text>
    </comment>
  </commentList>
</comments>
</file>

<file path=xl/sharedStrings.xml><?xml version="1.0" encoding="utf-8"?>
<sst xmlns="http://schemas.openxmlformats.org/spreadsheetml/2006/main" count="2139" uniqueCount="819">
  <si>
    <t>SaaS Tools with AI/GenAI Features</t>
  </si>
  <si>
    <t>Tool</t>
  </si>
  <si>
    <t>Capability</t>
  </si>
  <si>
    <t>GAI COE</t>
  </si>
  <si>
    <t>Priority</t>
  </si>
  <si>
    <t>Status-POC</t>
  </si>
  <si>
    <t>Status - Legal</t>
  </si>
  <si>
    <t>Status - CVRM</t>
  </si>
  <si>
    <t>Contacts</t>
  </si>
  <si>
    <t>Details</t>
  </si>
  <si>
    <t>On Web Site</t>
  </si>
  <si>
    <t>#</t>
  </si>
  <si>
    <t>Vendor</t>
  </si>
  <si>
    <t>New or Existing Vendor</t>
  </si>
  <si>
    <t>SaaS/
PaaS Tool</t>
  </si>
  <si>
    <t xml:space="preserve">Abbott GenAI Capability </t>
  </si>
  <si>
    <t>AI/GenAI Feature</t>
  </si>
  <si>
    <t>Feature Description</t>
  </si>
  <si>
    <t>Use Case #</t>
  </si>
  <si>
    <t>Use Case(s) ESC Approved for POC/Pilot</t>
  </si>
  <si>
    <t>Use Case(s) ESC Approved for Production</t>
  </si>
  <si>
    <t>Intended Purpose</t>
  </si>
  <si>
    <t>Priority for Legal and Procurement Teams</t>
  </si>
  <si>
    <t>Status on POC Outcomes</t>
  </si>
  <si>
    <t>MSA, NDA, Trial, Not Started - Wendy</t>
  </si>
  <si>
    <t xml:space="preserve">CVRM Review from Cyber/Risk Assessment </t>
  </si>
  <si>
    <t>BRM/ Business Contact (if involved)</t>
  </si>
  <si>
    <t>Legal Contact</t>
  </si>
  <si>
    <t>Procurement Contact</t>
  </si>
  <si>
    <t>DTS Contacts including Arch</t>
  </si>
  <si>
    <t>Feature Status, e.g., 
- Features have already been enabled automatically by the vendor 
- Not active yet, features need to be enabled/purchased</t>
  </si>
  <si>
    <t>Enablement Details, e.g., 
- If automatically enabled, when is it?
- If requires enablement, is there any additional fee needed?</t>
  </si>
  <si>
    <t>7 Taps</t>
  </si>
  <si>
    <t>New Vendor</t>
  </si>
  <si>
    <t>SaaS</t>
  </si>
  <si>
    <t>Learning &amp; Training</t>
  </si>
  <si>
    <t>Microlearning - Content Generation and Text to video</t>
  </si>
  <si>
    <t>By utilizing the text to video functionality within 7 Taps, the learning designer will type approved text into the tool and this text is then converted into a video showing an AI simulated person</t>
  </si>
  <si>
    <t>#251 CHR - L$D - 7 Taps - Text to Video - oh hold per business's request</t>
  </si>
  <si>
    <t>No</t>
  </si>
  <si>
    <t>HR only</t>
  </si>
  <si>
    <t>Not Needed</t>
  </si>
  <si>
    <t>On Hold</t>
  </si>
  <si>
    <t>Not Started</t>
  </si>
  <si>
    <t xml:space="preserve">Bhavesh Shah </t>
  </si>
  <si>
    <t>y</t>
  </si>
  <si>
    <t xml:space="preserve">Abilitie </t>
  </si>
  <si>
    <t>Educational Content Development</t>
  </si>
  <si>
    <t xml:space="preserve">Instructor led management training. Full service provider. Within managment course there are two 15 minute role play simulations that use AI. Trainee practices soft skills with a mock employee (AI persona) in a chat interface. </t>
  </si>
  <si>
    <t xml:space="preserve">#219 L&amp;D - Use of Gen AI in Manager training Pilot (Abilitie vendor) </t>
  </si>
  <si>
    <t>Yes</t>
  </si>
  <si>
    <t>no</t>
  </si>
  <si>
    <t>Medium</t>
  </si>
  <si>
    <t>Select</t>
  </si>
  <si>
    <t>MSA work in progress</t>
  </si>
  <si>
    <t>Wendy</t>
  </si>
  <si>
    <t>Y</t>
  </si>
  <si>
    <t>Acolad</t>
  </si>
  <si>
    <t>Existing vendor</t>
  </si>
  <si>
    <t>Translation</t>
  </si>
  <si>
    <t>Machine Translation</t>
  </si>
  <si>
    <t>Language services with AI-driven translations and localisation capabilities</t>
  </si>
  <si>
    <t>#86 Med Dev Clinical Study Document Translation 
#87 OEC Evaluation of Written Materials for Monitoring
#90 Med Dev SH  Automated Translation Tool for Websites
#146 Corp OEC/ Abbott Legal Counsel Evaluation of Translation</t>
  </si>
  <si>
    <t>On-Demand; Global use</t>
  </si>
  <si>
    <t>Completed</t>
  </si>
  <si>
    <t>POC Compete - Proceeding Ahead</t>
  </si>
  <si>
    <t>SOW Signed, PO Routing</t>
  </si>
  <si>
    <t>CVRM cpmplete/ Risk Assessment not complete</t>
  </si>
  <si>
    <t>Dan Stout</t>
  </si>
  <si>
    <t>Wendy S</t>
  </si>
  <si>
    <t>Dan Stout, Emma F</t>
  </si>
  <si>
    <t>Must be purchased</t>
  </si>
  <si>
    <t>Existing software to purchase</t>
  </si>
  <si>
    <t>Adobe Express</t>
  </si>
  <si>
    <t>Creative Content Generation</t>
  </si>
  <si>
    <t>Content Creation</t>
  </si>
  <si>
    <t>Content Editing</t>
  </si>
  <si>
    <t>#252 Assess capabilities for Adobe Express &amp; Adobe Firefly</t>
  </si>
  <si>
    <t>Enterprise</t>
  </si>
  <si>
    <t>Adobe has existing MSA.  ELTA for creative suite executed with AI terms.</t>
  </si>
  <si>
    <t>Kevin Kaiser</t>
  </si>
  <si>
    <t>Lalitha, Kevin Kaiser</t>
  </si>
  <si>
    <t>ETLA (Sales Order) signed for express to be accessed if user has license to creative cloud. Standalone express license does not exist current state. AI langauge has been added to ETLA (NOT at MSA level and needs to be incorporated per order)</t>
  </si>
  <si>
    <t>Adobe Firefly</t>
  </si>
  <si>
    <t>Generative Creative AI</t>
  </si>
  <si>
    <t>Generates images and creative assets from text prompts. Anything Brand Brain</t>
  </si>
  <si>
    <t>Use of Firefly in all Adobe tools</t>
  </si>
  <si>
    <t>Adobe Foundry</t>
  </si>
  <si>
    <t>GenAI Workflow Services</t>
  </si>
  <si>
    <t>Provides reusable GenAI services for enterprise workflows.</t>
  </si>
  <si>
    <t>BTS only</t>
  </si>
  <si>
    <t>Adobe Gen Studio</t>
  </si>
  <si>
    <t xml:space="preserve">Content Generation </t>
  </si>
  <si>
    <t>Creative Studio suite with AI tools for content generation and editing</t>
  </si>
  <si>
    <t>#208 Adobe GenStudio Beta Program</t>
  </si>
  <si>
    <t>N/A</t>
  </si>
  <si>
    <t>POC Compelete - Not Proceeding</t>
  </si>
  <si>
    <t>POC Trial complete - Not proceeding ahead</t>
  </si>
  <si>
    <t>Trial in AN by end of Jan 2025</t>
  </si>
  <si>
    <t>Allego</t>
  </si>
  <si>
    <t>Training</t>
  </si>
  <si>
    <t>AI Sales Coaching</t>
  </si>
  <si>
    <t>Analyses sales content and conversations to provide coaching insights.</t>
  </si>
  <si>
    <t>ADC only</t>
  </si>
  <si>
    <t>Amazon - AWS</t>
  </si>
  <si>
    <t>PaaS</t>
  </si>
  <si>
    <t>Enterprise Productivity Tool</t>
  </si>
  <si>
    <t>PaaS Platform - Bedrock for GenAI</t>
  </si>
  <si>
    <t>Platform of 7 prebuilt LLMs</t>
  </si>
  <si>
    <t xml:space="preserve">Models </t>
  </si>
  <si>
    <t>Global use - Anthropic is usecase specific</t>
  </si>
  <si>
    <t>Not Applicable</t>
  </si>
  <si>
    <t>LLMs have specific terms in Bedrock that need to be reviewed</t>
  </si>
  <si>
    <t>Available in AWS once the GenAI Use Case is approved.</t>
  </si>
  <si>
    <t>GenAI Sandbox adoption is funded via BTS. Successful use cases that proceed towards Production are funded by the owning Division.</t>
  </si>
  <si>
    <t>Amazon Q</t>
  </si>
  <si>
    <t xml:space="preserve">SaaS </t>
  </si>
  <si>
    <t>Code Creation</t>
  </si>
  <si>
    <t>AI Coding Assistant</t>
  </si>
  <si>
    <t>#240 AI Enhanced Developer Tools</t>
  </si>
  <si>
    <t>Cancelled</t>
  </si>
  <si>
    <t>Not Started.</t>
  </si>
  <si>
    <t>Patrick Feeney</t>
  </si>
  <si>
    <t>Not active</t>
  </si>
  <si>
    <t>will use MS Copilot as standard</t>
  </si>
  <si>
    <t>Anima</t>
  </si>
  <si>
    <t>Code Generation</t>
  </si>
  <si>
    <t>AI Code Generation</t>
  </si>
  <si>
    <t>Converts designs into production-ready code.</t>
  </si>
  <si>
    <t>RMDX only</t>
  </si>
  <si>
    <t>Anthropic</t>
  </si>
  <si>
    <t>Claude 3.5</t>
  </si>
  <si>
    <t>Enterprise-grade LLM for reasoning, analysis, and generation.</t>
  </si>
  <si>
    <t>BTS, ADC - only</t>
  </si>
  <si>
    <t>High</t>
  </si>
  <si>
    <t>APLM</t>
  </si>
  <si>
    <t>Search &amp; Insight Generation</t>
  </si>
  <si>
    <t>AI Insight Discovery</t>
  </si>
  <si>
    <t>Uses AI to surface patterns, trends, and insights from large datasets.</t>
  </si>
  <si>
    <t xml:space="preserve">#231 Build an internal-facing Generative AI search within APLM </t>
  </si>
  <si>
    <t>Low</t>
  </si>
  <si>
    <t>POC To Start</t>
  </si>
  <si>
    <t xml:space="preserve">Articulate 360 </t>
  </si>
  <si>
    <t xml:space="preserve">Learning Authoring </t>
  </si>
  <si>
    <t>Is a suite of eLearning authoring tools used by instructional designers, educators to create interactive online training content</t>
  </si>
  <si>
    <t>1. AI Text Generation: Quickly drafts lesson content from prompts.
2. Basic text-to-speech narration with multiple voices
3. Translates courses into multiple languages using Azure/Google APIs
4. Recommends layout and interactive elements based on best practices and content context</t>
  </si>
  <si>
    <t>#278 AN Articulate 360 | Storyline 360 | GENAI Assessment</t>
  </si>
  <si>
    <t>Atlassian AI</t>
  </si>
  <si>
    <t>Workflow Automation</t>
  </si>
  <si>
    <t>Productivity and Collaborator tool</t>
  </si>
  <si>
    <t xml:space="preserve">Not started </t>
  </si>
  <si>
    <t>AutogenAI</t>
  </si>
  <si>
    <t>AutogenAI is designed to help with drafting bids and proposals</t>
  </si>
  <si>
    <t>1. Capabilities for analyzing previous bid submissions to improve future proposals.
2. It can help with drafting bids and proposals, likely using AI to assist in the writing process
3. The tool seems to have analytical capabilities to identify patterns in successful bids</t>
  </si>
  <si>
    <t>#276 GENAI  - ANI UK Smart Proposals_AutogenAI</t>
  </si>
  <si>
    <t>UK only</t>
  </si>
  <si>
    <t>Big Panda</t>
  </si>
  <si>
    <t>AI Incident Correlation</t>
  </si>
  <si>
    <t>Uses AI to correlate alerts and identify root causes.</t>
  </si>
  <si>
    <t>Businessolver</t>
  </si>
  <si>
    <t>Virtual Assistants</t>
  </si>
  <si>
    <t xml:space="preserve">Search, Summarization, Insight Generation </t>
  </si>
  <si>
    <t xml:space="preserve">Sofia AI Bot – A virtual benefits assistant that allows employees to ask questions related to their benefits and enrollment
Call Summarization – Call recording, transcription, and summarization between an HR Benefit Agent and an employee (only the HR Benefit Administrator will be allowed to view the summary, not the employee)
</t>
  </si>
  <si>
    <t>#263 CHR - BusinesSolver Benefot Vendor AI Capabilities</t>
  </si>
  <si>
    <t>POC/Assessment In Progress</t>
  </si>
  <si>
    <t>CVRM completed</t>
  </si>
  <si>
    <t>AI Features will be available once Business Solver becomes new benefit vendor for next years open enrollment</t>
  </si>
  <si>
    <t>C3.ai</t>
  </si>
  <si>
    <t>Agent Platform</t>
  </si>
  <si>
    <t>Enterprise AI Agent Platform</t>
  </si>
  <si>
    <t>Builds and deploys AI agents for enterprise use cases.</t>
  </si>
  <si>
    <t>CoreDx only</t>
  </si>
  <si>
    <t>Cap Prduct X</t>
  </si>
  <si>
    <t>Code Migration</t>
  </si>
  <si>
    <t>AI Code Migration</t>
  </si>
  <si>
    <t>Automates legacy code analysis and migration using AI.</t>
  </si>
  <si>
    <t xml:space="preserve"> MD only</t>
  </si>
  <si>
    <t>Cascade AI</t>
  </si>
  <si>
    <t xml:space="preserve">Benefits </t>
  </si>
  <si>
    <t>AI-driven workflow automation and process optimisation tool</t>
  </si>
  <si>
    <t xml:space="preserve">#203 CHR ChatBot using Cascade AI </t>
  </si>
  <si>
    <t>POC In Progress</t>
  </si>
  <si>
    <t xml:space="preserve">Trial agreement finalized </t>
  </si>
  <si>
    <t>Claude Code</t>
  </si>
  <si>
    <t>LLM Code Assistant</t>
  </si>
  <si>
    <t>Assists with code generation, refactoring, and explanation.</t>
  </si>
  <si>
    <t>Limited to ADC R&amp;D</t>
  </si>
  <si>
    <t>Codeium</t>
  </si>
  <si>
    <t>AI Code Editor</t>
  </si>
  <si>
    <t>Trial Paperwork Complete</t>
  </si>
  <si>
    <t>Lisa Jones</t>
  </si>
  <si>
    <t>Not yet active</t>
  </si>
  <si>
    <t>Requires Enablement/Purchase</t>
  </si>
  <si>
    <t>Collate</t>
  </si>
  <si>
    <t>Creative Content Creation</t>
  </si>
  <si>
    <t>Regulatory/Clinical document Drafting</t>
  </si>
  <si>
    <t>Regulatory/Clinical document drafting, search information and generate insights, translation capability within the platform</t>
  </si>
  <si>
    <t>POC in MD, potential to scale to Enterprise</t>
  </si>
  <si>
    <t>Coveo</t>
  </si>
  <si>
    <t>Search Answer Engine</t>
  </si>
  <si>
    <t>AI Search &amp; Relevance</t>
  </si>
  <si>
    <t>Delivers personalised, AI-powered enterprise search.</t>
  </si>
  <si>
    <t>GMEA only</t>
  </si>
  <si>
    <t>Cursor.com</t>
  </si>
  <si>
    <t>CDA Complete, Working on Eval Agreement</t>
  </si>
  <si>
    <t>Melanie Randall</t>
  </si>
  <si>
    <t>DataBricks Genie</t>
  </si>
  <si>
    <t>AI Code &amp; Query Assistant</t>
  </si>
  <si>
    <t>Natural language to code and data queries.</t>
  </si>
  <si>
    <t xml:space="preserve">UC#234 Databricks Genie (AI) Enablement in Lingo Environment
</t>
  </si>
  <si>
    <t xml:space="preserve">Azure only. Restricted to Open AI models as confirmed with Databricks in Azure. Approved for MD&amp; CoreDx only. All other divisions need to send intended use info to Ai CoE </t>
  </si>
  <si>
    <t>Deep Sights</t>
  </si>
  <si>
    <t>Insights on Content</t>
  </si>
  <si>
    <t xml:space="preserve">AI assistant for extract insights from Market Logic Repository </t>
  </si>
  <si>
    <t xml:space="preserve">#202 ADC Competitive Intelligence </t>
  </si>
  <si>
    <t xml:space="preserve">ADC Only - Any other divisions must inform use case needs to Ai CoE </t>
  </si>
  <si>
    <t>Sent Abbott legal feedback to ML</t>
  </si>
  <si>
    <t>DragonFly AI</t>
  </si>
  <si>
    <t>Reporting &amp; Summarization</t>
  </si>
  <si>
    <t>Creative preformance Insights</t>
  </si>
  <si>
    <t>predictive visual analytics tool designed to help brand, creative, and marketing teams optimize visual content. It uses AI to predict audience attention, provides insights into visual features, and helps teams measure campaign effectiveness. The platform supports real-time analysis and collaboration, and is built on principles of visual neuroscience for scientific accuracy.</t>
  </si>
  <si>
    <t xml:space="preserve">#254 EPD/GMEA AI-Powered Campaign Screening for Enhanced Marketing Effectiveness </t>
  </si>
  <si>
    <t>Not recommeding it</t>
  </si>
  <si>
    <t>DSMN8 AI</t>
  </si>
  <si>
    <t xml:space="preserve">HR Gen AI Post Creations  </t>
  </si>
  <si>
    <t xml:space="preserve">Utilising Gen AI to create posts for HR recruitment marketing </t>
  </si>
  <si>
    <t>#246 CHR - DSMN8 AI Pilot - Generate Post captions - Use Case On hold</t>
  </si>
  <si>
    <t>Dynamic Media</t>
  </si>
  <si>
    <t>Smart Cropping</t>
  </si>
  <si>
    <t>Media asset managament system with AI for tagging and optimisation</t>
  </si>
  <si>
    <t>#212 Marketing Content Assistant (Channilizer)</t>
  </si>
  <si>
    <t>EcoVadis</t>
  </si>
  <si>
    <t>AI ESG Insight Engine</t>
  </si>
  <si>
    <t>AI-driven ESG data analysis and insight generation.</t>
  </si>
  <si>
    <t>#283 EcoVadis AI Assistant</t>
  </si>
  <si>
    <t>Embasse</t>
  </si>
  <si>
    <t>AI Literature Search</t>
  </si>
  <si>
    <t>AI-enhanced biomedical literature discovery and analysis.</t>
  </si>
  <si>
    <t>ARC only</t>
  </si>
  <si>
    <t>Figma</t>
  </si>
  <si>
    <t>UI/UX generation</t>
  </si>
  <si>
    <t>Website design</t>
  </si>
  <si>
    <t>Figma MSA likely needs redone - old and on vendor paper</t>
  </si>
  <si>
    <t>Five9</t>
  </si>
  <si>
    <t>Platform that helps organizations manage customer interactions across voice, email, chat, SMS, and social media</t>
  </si>
  <si>
    <t>Uses conversational AI to handle routine customer inquiries via voice or chat, Agent Assist, Speech Analytics &amp; Predictive Dialer</t>
  </si>
  <si>
    <t xml:space="preserve">#260 BTS Infrastructure Services - GSD AI </t>
  </si>
  <si>
    <t>Gallup Chatbot</t>
  </si>
  <si>
    <t>A conversational AI tool designed to empower people managers with meaningful coaching capabilities by streamlining access to insights from the Gallup Engagement Resource Guide.</t>
  </si>
  <si>
    <t>Gama.ai</t>
  </si>
  <si>
    <t>AI Creative Generation</t>
  </si>
  <si>
    <t>Generates presentations and creative assets via GenAI.</t>
  </si>
  <si>
    <t>Git Hub Co Pilot</t>
  </si>
  <si>
    <t>Paas</t>
  </si>
  <si>
    <t>AI Code Assistant</t>
  </si>
  <si>
    <t>Generates, explains, and completes code within developer workflows.</t>
  </si>
  <si>
    <t>Google - GCP Gemini</t>
  </si>
  <si>
    <t>Gemini for Workspace</t>
  </si>
  <si>
    <t>AI-assisted productivity across Google enterprise tools.</t>
  </si>
  <si>
    <t>Restricted for BTS through Cloud Governance</t>
  </si>
  <si>
    <t>Google Code Assist</t>
  </si>
  <si>
    <t>Canceled</t>
  </si>
  <si>
    <t xml:space="preserve">Harness AI </t>
  </si>
  <si>
    <t>Process Automation</t>
  </si>
  <si>
    <t>CI/CD Process</t>
  </si>
  <si>
    <t>AI-driven platform for streamlining and automating entire software delivery processes</t>
  </si>
  <si>
    <t>Huma.ai</t>
  </si>
  <si>
    <t>AI Search &amp; Insight Assistant</t>
  </si>
  <si>
    <t>Uses GenAI to summarise data and answer complex scientific queries.</t>
  </si>
  <si>
    <t>#280 ADC Clinical Huma.ai</t>
  </si>
  <si>
    <t>Huma.ai- Follow complaint management and tracking process while writing prompts and inferring outcomes (AI to automate scientific literature review for regulatory submissions, boosting speed and productivity)</t>
  </si>
  <si>
    <t>Human Chain</t>
  </si>
  <si>
    <t>Human-in-the-Loop AI Automation</t>
  </si>
  <si>
    <t>Combines GenAI with human review to automate and validate business processes.</t>
  </si>
  <si>
    <t>#255 ADC Food Choice Assistant - newly added tool trials</t>
  </si>
  <si>
    <t>Indegene</t>
  </si>
  <si>
    <t xml:space="preserve">MLR Review Automation </t>
  </si>
  <si>
    <t>1. GenAI assists in creating and summarizing medical content, facilitating quicker preparation and review of promotional and informational materia
2.  leveraging AI, Indegene can cross-reference claims against approved data sources, ensuring that all statements are accurate and compliant with regulatory standards</t>
  </si>
  <si>
    <t>#267 ADC-Regulatory Claims/Fact Validation Feature</t>
  </si>
  <si>
    <t>ADC - only</t>
  </si>
  <si>
    <t>Infodesk</t>
  </si>
  <si>
    <t>AI Market Intelligence</t>
  </si>
  <si>
    <t>Generates insights from external market and competitor data.</t>
  </si>
  <si>
    <t>Intellum</t>
  </si>
  <si>
    <t>Is a LMS designed to help organizations educate through scalable, personalized, and data-driven learning experiences.</t>
  </si>
  <si>
    <t>Uses generative AI and machine learning to automate: Course creation (Creator Agent),  Learner support (Learner Agent)&amp; Admin workflows (Manager Agent)</t>
  </si>
  <si>
    <t>#273 GMEA 2025 - Intellum LMS</t>
  </si>
  <si>
    <t>Legal work in progress</t>
  </si>
  <si>
    <t>Jasper.ai</t>
  </si>
  <si>
    <t>Content generation</t>
  </si>
  <si>
    <t xml:space="preserve">Editorial Wirting Tool </t>
  </si>
  <si>
    <t>Closed</t>
  </si>
  <si>
    <t>NA</t>
  </si>
  <si>
    <t>Jfrog / Github</t>
  </si>
  <si>
    <t>part of Github Copilot</t>
  </si>
  <si>
    <t xml:space="preserve">Langchain </t>
  </si>
  <si>
    <t>Reporting &amp; Observability</t>
  </si>
  <si>
    <t>LLM Orchestration Framework</t>
  </si>
  <si>
    <t>Enables building, chaining, and deploying LLM-powered applications with tools and agents.</t>
  </si>
  <si>
    <t>Langfuse</t>
  </si>
  <si>
    <t>LLM Observability &amp; Evaluation</t>
  </si>
  <si>
    <t>Monitors, evaluates, and debugs LLM applications with traces, metrics, and feedback.</t>
  </si>
  <si>
    <t>LinkedIn Recruiter AI</t>
  </si>
  <si>
    <t xml:space="preserve">AI Resume Screening </t>
  </si>
  <si>
    <t xml:space="preserve">AI Assisted Messages, AI Assisted job targeting for wrapped jobs, resume search expansion, AI assisted search </t>
  </si>
  <si>
    <t>#242 CHR - Linked In AI Capability Pilot for recruiters</t>
  </si>
  <si>
    <t>Not active yet, features need to be enabled</t>
  </si>
  <si>
    <t xml:space="preserve">No additional Fee </t>
  </si>
  <si>
    <t>LogicFlo</t>
  </si>
  <si>
    <t>AI Analytics &amp; Summarisation</t>
  </si>
  <si>
    <t>Auto-summarises workflows, reports, and process insights.</t>
  </si>
  <si>
    <t>#282 AIM Automating Medical Article Drafting Process</t>
  </si>
  <si>
    <t>Loopio</t>
  </si>
  <si>
    <t>Execute production pilot to streamline RFP response process by leveraging GenAI trained on historical RFPs, approved responses, and revision patterns to reduce manual effort and rework across intake, authoring, collaboration, and packaging</t>
  </si>
  <si>
    <t xml:space="preserve">CoreDx only </t>
  </si>
  <si>
    <t>MatLab library</t>
  </si>
  <si>
    <t>API for Mathlab functions</t>
  </si>
  <si>
    <t>AI Function Assistance</t>
  </si>
  <si>
    <t>AI-assisted discovery and use of MATLAB functions.</t>
  </si>
  <si>
    <t>Microsoft - Azure</t>
  </si>
  <si>
    <t>PaaS Platform</t>
  </si>
  <si>
    <t>Platform of ~1700 prebuilt and customizable LLMs</t>
  </si>
  <si>
    <t>Global use - Open AI</t>
  </si>
  <si>
    <t>Microsoft Enterprise Agreement governs</t>
  </si>
  <si>
    <t>Available in Azure once the GenAI Use Case is approved.</t>
  </si>
  <si>
    <t>Microsoft Azure AI Agentic Applications</t>
  </si>
  <si>
    <t>Azure AI Agentic solution to integrate Internet Search within the Azure AI Foundry Service</t>
  </si>
  <si>
    <t>Agentic AI Applications including Bing Search Grounding</t>
  </si>
  <si>
    <t>Microsoft Enterprise Agreement incorporates AI terms and MS assumes responsibility for use of Azure Open AI under our agreement</t>
  </si>
  <si>
    <t>**Available in Azure once the GenAI Use Case is approved but subject to a different TOU than other Azure AI Services**
When you use Grounding with Bing Search, your customer data is transferred outside of the Azure compliance boundary to the Grounding with Bing Search service. Grounding with Bing Search is not subject to the same data processing terms (including location of processing) and does not have the same compliance standards and certifications as the Azure AI Agent Service, as described in the Grounding with Bing Search TOU. It is your responsibility to assess whether use of Grounding with Bing Search in your agent meets your needs and requirements.
https://aka.ms/grounding-with-bing-search-tou</t>
  </si>
  <si>
    <t>Miro.ai</t>
  </si>
  <si>
    <t>Ideation summaries</t>
  </si>
  <si>
    <t>AI Ideation Assistant</t>
  </si>
  <si>
    <t>Summarises, clusters, and expands ideas collaboratively.</t>
  </si>
  <si>
    <t>Mistral</t>
  </si>
  <si>
    <t>Mistral LLM Access</t>
  </si>
  <si>
    <t>Secure enterprise access to Mistral language models.</t>
  </si>
  <si>
    <t>MS Agreements</t>
  </si>
  <si>
    <t>Vendor contract recommendations</t>
  </si>
  <si>
    <t>Enterprise agreement management with AI for compliance checks.</t>
  </si>
  <si>
    <t>#210 Corp  Procurement Microsoft Agreement CLM Trial</t>
  </si>
  <si>
    <t>Trial paperwork finalized.  Trial initiated</t>
  </si>
  <si>
    <t>Julianne OLeary / Steve Shim</t>
  </si>
  <si>
    <t>Lalitha, Ken</t>
  </si>
  <si>
    <t>MS Copilot Studio</t>
  </si>
  <si>
    <t xml:space="preserve">Low-code AI-Agent </t>
  </si>
  <si>
    <t>AI assistant integrated into productivity tools for enhanced collaboration</t>
  </si>
  <si>
    <t xml:space="preserve">Enterprise Use Cse </t>
  </si>
  <si>
    <t>BTS only - all others needs to inform Ai CoE Needs</t>
  </si>
  <si>
    <t>Murf.ai</t>
  </si>
  <si>
    <t>Generative Voice AI</t>
  </si>
  <si>
    <t>Creates AI voices and audio content from text.</t>
  </si>
  <si>
    <t>NavaX</t>
  </si>
  <si>
    <t>AI Productivity Assistant</t>
  </si>
  <si>
    <t>AI-powered automation and decision support.</t>
  </si>
  <si>
    <t>#288 EPD Pharmacovigilance - Individual Case Safety Reporting</t>
  </si>
  <si>
    <t>Neuron AI</t>
  </si>
  <si>
    <t>Neurons combines neuroscience and AI to predict audience responses to creative content before it goes live. Leveraging over 100 billion data points gathered from more than 120,000 participants through eye-tracking and brain-scanning studies, Neurons analyzes visuals to provide powerful, predictive insights into consumer attention and engagement</t>
  </si>
  <si>
    <t>Neuron7</t>
  </si>
  <si>
    <t>Analytics</t>
  </si>
  <si>
    <t>AI Service Analytics</t>
  </si>
  <si>
    <t>Predictive analytics for service and support operations.</t>
  </si>
  <si>
    <t xml:space="preserve"> CoreDx only</t>
  </si>
  <si>
    <t>Execute production deployment of Neuron7 AI to accelerate service ticket resolution and reduce parts cost by leveraging service manuals, operations manuals, and other knowledge sources.</t>
  </si>
  <si>
    <t>New Relic</t>
  </si>
  <si>
    <t>Observability platform that helps monitor, troubleshoot, and optimize application and infrastructure performance in real time. Vendor has added GenAI Assistant and Observability Insight Trends driven by GenAI.</t>
  </si>
  <si>
    <t>1. Agent: Enables natural language interaction for observability tasks using GPT-4.
2. RAG: Combines platform and external data for more relevant, actionable AI insights.
3. Agentic Integrations: Embeds AI-driven observability into tools like ServiceNow and Gemini.</t>
  </si>
  <si>
    <t xml:space="preserve">MSA in place with New Relic but does NOT include GenAI language.  GenAI features are blocked, and we need to execute AI Addendum with New Relic to unblock.  </t>
  </si>
  <si>
    <t>Raj Rajasekaran</t>
  </si>
  <si>
    <t>Not active yet, features need to enabled</t>
  </si>
  <si>
    <t>Enabled only when approved by Abbott AI COE and contract with the vendor</t>
  </si>
  <si>
    <t>OpenAI</t>
  </si>
  <si>
    <t>GPT-4 / GPT-4o</t>
  </si>
  <si>
    <t>Enterprise GenAI for content, reasoning, and automation.</t>
  </si>
  <si>
    <t>BTS 100 user -&amp; ADC - only for 250 users</t>
  </si>
  <si>
    <t>Percipio</t>
  </si>
  <si>
    <t>AI Learning Authoring</t>
  </si>
  <si>
    <t>Generates and personalises learning content using GenAI.</t>
  </si>
  <si>
    <t>#281 Percipio AI Request</t>
  </si>
  <si>
    <t>Phenom X+</t>
  </si>
  <si>
    <t>Summarization, Insight Generation, Semantic Search</t>
  </si>
  <si>
    <t>(1) X+ Screening
(2) X+ Source
(3) X+ Candidate Fit Score
(4) Premium Events                                    5) X+ Agent: Intake Auto.
(6) Structure Interviews
(7) Interview Intelligence
(8) Talent Experience Engine</t>
  </si>
  <si>
    <t>#243 CHR - Phenom AI Pilot</t>
  </si>
  <si>
    <t>Promptfoo</t>
  </si>
  <si>
    <t>Prompt Testing &amp; Evaluation</t>
  </si>
  <si>
    <t>Tests, compares, and evaluates LLM prompts and outputs at scale.</t>
  </si>
  <si>
    <t>ADC stated they have dropped the request for Promptfoo for now</t>
  </si>
  <si>
    <t xml:space="preserve">Rally AI </t>
  </si>
  <si>
    <t xml:space="preserve">AI Assisted content generation for recruitment marketing </t>
  </si>
  <si>
    <t xml:space="preserve">RallyAI is an advanced AI-powered recruitment marketing assistant designed to enhance talent acquisition strategies. Assists the creation &amp; management of recruitment marketing content and campaigns. 
</t>
  </si>
  <si>
    <t>#245 CHR - Pilot Rally AI capabilities</t>
  </si>
  <si>
    <t>Renaissance - Cossimo</t>
  </si>
  <si>
    <t>AI Virtual Assistant</t>
  </si>
  <si>
    <t>Conversational AI for knowledge retrieval and task assistance.</t>
  </si>
  <si>
    <t>#290 Via Renaissance – AI COSIMO Virtual Coach</t>
  </si>
  <si>
    <t>RightSpend</t>
  </si>
  <si>
    <t>The application provides benchmarks for marketing agency rate cards; copilot has been added to improve the results.  
Benchmarking</t>
  </si>
  <si>
    <t>AI-driven marketing spend analysis and optimisation tool</t>
  </si>
  <si>
    <t>#275 GenAI - RightSpend Procurement</t>
  </si>
  <si>
    <t xml:space="preserve">Features have already been enabled automatically by the vendor </t>
  </si>
  <si>
    <t xml:space="preserve">Working with the vendor to detemine how this feature can be turned off, it not approved for us. </t>
  </si>
  <si>
    <t>Rossylyn</t>
  </si>
  <si>
    <t>Procurement metrics</t>
  </si>
  <si>
    <t>Data visualisation and analytics</t>
  </si>
  <si>
    <t>#185 Gobal Procurement Rosslyn AI Beta - POC completed, not progressing to project</t>
  </si>
  <si>
    <t>Trial complete?</t>
  </si>
  <si>
    <t>Salesforce Agent Force</t>
  </si>
  <si>
    <t>AI-generated Sales Emails. Automated Call Summaries. AI-powered Sales Assistant. Predictive Forecasting</t>
  </si>
  <si>
    <r>
      <rPr>
        <b/>
        <sz val="11"/>
        <color theme="1"/>
        <rFont val="Calibri"/>
        <family val="2"/>
      </rPr>
      <t>Sales Emails:</t>
    </r>
    <r>
      <rPr>
        <sz val="11"/>
        <color theme="1"/>
        <rFont val="Calibri"/>
        <family val="2"/>
      </rPr>
      <t xml:space="preserve"> Automatically generates personalized emails for contacts and leads, streamlining sales prospecting and saving valuable time.  
</t>
    </r>
    <r>
      <rPr>
        <b/>
        <sz val="11"/>
        <color theme="1"/>
        <rFont val="Calibri"/>
        <family val="2"/>
      </rPr>
      <t>Call Summaries:</t>
    </r>
    <r>
      <rPr>
        <sz val="11"/>
        <color theme="1"/>
        <rFont val="Calibri"/>
        <family val="2"/>
      </rPr>
      <t xml:space="preserve"> Provides concise, actionable summaries of sales calls, highlighting key takeaways and customer sentiment to inform subsequent interactions.  
</t>
    </r>
    <r>
      <rPr>
        <b/>
        <sz val="11"/>
        <color theme="1"/>
        <rFont val="Calibri"/>
        <family val="2"/>
      </rPr>
      <t>Sales Assistant:</t>
    </r>
    <r>
      <rPr>
        <sz val="11"/>
        <color theme="1"/>
        <rFont val="Calibri"/>
        <family val="2"/>
      </rPr>
      <t xml:space="preserve"> Summarizes each step of the sales cycle—from account research and meeting preparation to drafting contract clauses—while automatically keeping the CRM up-to-date.  
</t>
    </r>
    <r>
      <rPr>
        <b/>
        <sz val="11"/>
        <color theme="1"/>
        <rFont val="Calibri"/>
        <family val="2"/>
      </rPr>
      <t xml:space="preserve">Predictive Forecasting: </t>
    </r>
    <r>
      <rPr>
        <sz val="11"/>
        <color theme="1"/>
        <rFont val="Calibri"/>
        <family val="2"/>
      </rPr>
      <t>Delivers AI-driven predictions to enhance forecast accuracy, helping sales teams identify potential gaps in the pipeline and adjust strategies accordingly.</t>
    </r>
  </si>
  <si>
    <t>#228 AN Sales Force Assistant &amp; #264 Salesforce AI-Powered Sales Optimization: Enhancing Lead Prioritization, Productivity, and Customer Engagement</t>
  </si>
  <si>
    <t>AN only</t>
  </si>
  <si>
    <t>Not started (228)</t>
  </si>
  <si>
    <t>MSA signed for Salesforce Gen AI.  Standalone Salesforce license does not does not provide access to Gen AI features. Will need add on licenses.</t>
  </si>
  <si>
    <t xml:space="preserve">AI-based automated customer responses. Automated Work Summaries. Automated Knowledge insights. </t>
  </si>
  <si>
    <r>
      <rPr>
        <b/>
        <sz val="11"/>
        <color theme="1"/>
        <rFont val="Calibri"/>
        <family val="2"/>
      </rPr>
      <t>Generative Responses:</t>
    </r>
    <r>
      <rPr>
        <sz val="11"/>
        <color theme="1"/>
        <rFont val="Calibri"/>
        <family val="2"/>
      </rPr>
      <t xml:space="preserve"> Automatically crafts personalized replies for customer inquiries, enabling service agents to respond swiftly and effectively.
</t>
    </r>
    <r>
      <rPr>
        <b/>
        <sz val="11"/>
        <color theme="1"/>
        <rFont val="Calibri"/>
        <family val="2"/>
      </rPr>
      <t>Work Summaries:</t>
    </r>
    <r>
      <rPr>
        <sz val="11"/>
        <color theme="1"/>
        <rFont val="Calibri"/>
        <family val="2"/>
      </rPr>
      <t xml:space="preserve"> Creates concise summaries of customer interactions and case details, facilitating quicker case resolution and efficient knowledge sharing among service teams.  
</t>
    </r>
    <r>
      <rPr>
        <b/>
        <sz val="11"/>
        <color theme="1"/>
        <rFont val="Calibri"/>
        <family val="2"/>
      </rPr>
      <t>Knowledge Article Generation and Insights</t>
    </r>
    <r>
      <rPr>
        <sz val="11"/>
        <color theme="1"/>
        <rFont val="Calibri"/>
        <family val="2"/>
      </rPr>
      <t>: Automatically generates and updates knowledge articles based on past case notes and interactions, ensuring that service teams have access to up-to-date information for resolving customer issues.</t>
    </r>
  </si>
  <si>
    <t>Salesforce Einstein for Marketing cloud</t>
  </si>
  <si>
    <t>Salesforce Predictive AI: Einstein Engagement Scoring, Einstein Send-Time Optimization, Einstein Campaign Insights.</t>
  </si>
  <si>
    <r>
      <rPr>
        <b/>
        <sz val="11"/>
        <color theme="1"/>
        <rFont val="Calibri"/>
        <family val="2"/>
      </rPr>
      <t>Generative AI for Content Creation:</t>
    </r>
    <r>
      <rPr>
        <sz val="11"/>
        <color theme="1"/>
        <rFont val="Calibri"/>
        <family val="2"/>
      </rPr>
      <t xml:space="preserve"> Utilize generative AI to automatically produce on-brand email subject lines, body copy, and SMS messages tailored to specific target audiences, streamlining content development processes.  
</t>
    </r>
    <r>
      <rPr>
        <b/>
        <sz val="11"/>
        <color theme="1"/>
        <rFont val="Calibri"/>
        <family val="2"/>
      </rPr>
      <t xml:space="preserve">Predictive Analytics for Journey Optimization: </t>
    </r>
    <r>
      <rPr>
        <sz val="11"/>
        <color theme="1"/>
        <rFont val="Calibri"/>
        <family val="2"/>
      </rPr>
      <t xml:space="preserve">Leverage predictive AI to create, test, and optimize personalized campaign variations, automating aspects like channel selection, content, timing, and send frequency to enhance customer engagement.  
</t>
    </r>
    <r>
      <rPr>
        <b/>
        <sz val="11"/>
        <color theme="1"/>
        <rFont val="Calibri"/>
        <family val="2"/>
      </rPr>
      <t>AI-Driven Audience Segmentation:</t>
    </r>
    <r>
      <rPr>
        <sz val="11"/>
        <color theme="1"/>
        <rFont val="Calibri"/>
        <family val="2"/>
      </rPr>
      <t xml:space="preserve"> Employ AI agents to swiftly generate target audience segments by simply describing the desired demographic, allowing for quick and precise market targeting without the need for complex queries.  
</t>
    </r>
    <r>
      <rPr>
        <b/>
        <sz val="11"/>
        <color theme="1"/>
        <rFont val="Calibri"/>
        <family val="2"/>
      </rPr>
      <t>Messaging Insights:</t>
    </r>
    <r>
      <rPr>
        <sz val="11"/>
        <color theme="1"/>
        <rFont val="Calibri"/>
        <family val="2"/>
      </rPr>
      <t xml:space="preserve"> Utilize AI to surface real-time campaign anomalies, such as drops in engagement rates, enabling teams to proactively address performance issues and maintain effective communication strategies.  
</t>
    </r>
    <r>
      <rPr>
        <b/>
        <sz val="11"/>
        <color theme="1"/>
        <rFont val="Calibri"/>
        <family val="2"/>
      </rPr>
      <t>Unified Conversations:</t>
    </r>
    <r>
      <rPr>
        <sz val="11"/>
        <color theme="1"/>
        <rFont val="Calibri"/>
        <family val="2"/>
      </rPr>
      <t xml:space="preserve"> Transform one-way promotions into dynamic two-way conversations across platforms like WhatsApp, connecting customer interactions across marketing and service teams for seamless engagement.</t>
    </r>
  </si>
  <si>
    <t>Salesforce: Data cloud</t>
  </si>
  <si>
    <t>Salesforce Data Unification, Vectorization and Activcation</t>
  </si>
  <si>
    <r>
      <rPr>
        <b/>
        <sz val="11"/>
        <color theme="1"/>
        <rFont val="Calibri"/>
        <family val="2"/>
      </rPr>
      <t xml:space="preserve">Vectorization of Data: </t>
    </r>
    <r>
      <rPr>
        <sz val="11"/>
        <color theme="1"/>
        <rFont val="Calibri"/>
        <family val="2"/>
      </rPr>
      <t xml:space="preserve">The Vector Database converts unstructured data—such as PDFs, emails, and transcripts—into numerical representations called vector embeddings. This process allows AI models to efficiently process and analyze complex information, leading to more accurate and contextually relevant outputs.  
</t>
    </r>
    <r>
      <rPr>
        <b/>
        <sz val="11"/>
        <color theme="1"/>
        <rFont val="Calibri"/>
        <family val="2"/>
      </rPr>
      <t xml:space="preserve">Data Aggregation Layer for Generative AI: </t>
    </r>
    <r>
      <rPr>
        <sz val="11"/>
        <color theme="1"/>
        <rFont val="Calibri"/>
        <family val="2"/>
      </rPr>
      <t xml:space="preserve">By integrating structured and unstructured data into a unified platform, Data Cloud serves as a comprehensive data aggregation layer. This consolidation empowers generative AI models to access a holistic view of enterprise data, enhancing their ability to generate insightful and actionable outputs.
</t>
    </r>
    <r>
      <rPr>
        <b/>
        <sz val="11"/>
        <color theme="1"/>
        <rFont val="Calibri"/>
        <family val="2"/>
      </rPr>
      <t>Ecosystem Connectivity:</t>
    </r>
    <r>
      <rPr>
        <sz val="11"/>
        <color theme="1"/>
        <rFont val="Calibri"/>
        <family val="2"/>
      </rPr>
      <t xml:space="preserve"> Data Cloud facilitates seamless connections between Salesforce and non-Salesforce systems, enabling organizations to integrate data from various external sources. This interoperability ensures that generative AI applications can leverage a wide array of data, fostering more informed decision-making and personalized customer experiences.
</t>
    </r>
    <r>
      <rPr>
        <b/>
        <sz val="11"/>
        <color theme="1"/>
        <rFont val="Calibri"/>
        <family val="2"/>
      </rPr>
      <t>Generative AI Assistance:</t>
    </r>
    <r>
      <rPr>
        <sz val="11"/>
        <color theme="1"/>
        <rFont val="Calibri"/>
        <family val="2"/>
      </rPr>
      <t xml:space="preserve"> With the integration of vectorized data and comprehensive data aggregation, Data Cloud enhances generative AI assistants by providing them with enriched context and a broader knowledge base. This leads to more accurate, relevant, and personalized responses in customer interactions and internal operations.</t>
    </r>
  </si>
  <si>
    <t>Seek Out AI</t>
  </si>
  <si>
    <t xml:space="preserve">AI Search, AI Assisted Messaging </t>
  </si>
  <si>
    <t xml:space="preserve">AI Assist Smart Search - Smart Search helps recruiters generate search terms based on job descriptions
AI Assist Smart Message - Smart Message creates draft messages for recruiters to send to potential candidates when recruiters are reach to engage
</t>
  </si>
  <si>
    <t>#244 CHR - Pilot Seek Out AI Capabilities</t>
  </si>
  <si>
    <t>Sprinklr</t>
  </si>
  <si>
    <t>Social Listening</t>
  </si>
  <si>
    <t>Unified customer experience with AI-enhanced social listening</t>
  </si>
  <si>
    <t xml:space="preserve">#235 GMEA uevaluation Social Listening Sprinklr </t>
  </si>
  <si>
    <t>POC Trial not yet started</t>
  </si>
  <si>
    <t>Synthesia</t>
  </si>
  <si>
    <t>Text to Video</t>
  </si>
  <si>
    <t>Allow text to be converted into video</t>
  </si>
  <si>
    <t>#195 Cyber e-learning</t>
  </si>
  <si>
    <t>Cyber Security Training only; Any others will need to inform Ai CoE of their needs</t>
  </si>
  <si>
    <t>MSA and Order Form Complete!</t>
  </si>
  <si>
    <t>MSA covers use of Stock and Custom Avatars to account for future approved use cases</t>
  </si>
  <si>
    <t>Tabnine</t>
  </si>
  <si>
    <t>Vercel V0</t>
  </si>
  <si>
    <t>AI-powered pair programmer for prototyping, building on the web or expressing new ideas</t>
  </si>
  <si>
    <t>Virtual Speech</t>
  </si>
  <si>
    <t xml:space="preserve">Utilize AI-driven solution to provide opportunities for leaders to practice and receive feedback on typical conversations they hold with team members e.g., providing feedback, development conversations, performance conversations etc. </t>
  </si>
  <si>
    <t xml:space="preserve">#93 CHR - (Virtual Speak) Using Generative AI to Practice Soft Skills </t>
  </si>
  <si>
    <t>Request to update MSA to incorporate GenAI language</t>
  </si>
  <si>
    <t xml:space="preserve">POC Completed - Looking to expand to different divisions, languages and add more training. Expansion Details:
Continue to use per current approvals
Manager Effectiveness is 2025 HR priority. Expect Virtual Speech to play a key role by expanding its use 
Expand to include Nutrition
Expand language availability to include Spanish, Portuguese, German, and Chinese, (testing to be completed first)
Make available to Intact groups focused on enhancing Manager Effectiveness
Consider expanding the number of scenarios </t>
  </si>
  <si>
    <t>Writer AI</t>
  </si>
  <si>
    <t>#17 Newsroom</t>
  </si>
  <si>
    <t>EPD &amp; GMEA only - Any o ther usecase needs to inform Ai CoE of needs</t>
  </si>
  <si>
    <t>EPD asking for MSA - still pending production approval</t>
  </si>
  <si>
    <t>Zena.ai</t>
  </si>
  <si>
    <t>Data Insight solution</t>
  </si>
  <si>
    <t>AI Data Insight Assistant</t>
  </si>
  <si>
    <t>Uses GenAI to analyse data and generate actionable insights.</t>
  </si>
  <si>
    <t>EPD</t>
  </si>
  <si>
    <t>Zendesk</t>
  </si>
  <si>
    <t>Customer service for HR</t>
  </si>
  <si>
    <t>Customer support with chatbots and automatic ticketing</t>
  </si>
  <si>
    <t xml:space="preserve">#232 CHR Zendesk for HR Service Center </t>
  </si>
  <si>
    <t>Trial documentation finalized</t>
  </si>
  <si>
    <t>Sean/Wendy</t>
  </si>
  <si>
    <t>Logo</t>
  </si>
  <si>
    <t>Remove</t>
  </si>
  <si>
    <t>Title</t>
  </si>
  <si>
    <t>GenAI Capability</t>
  </si>
  <si>
    <t>AI/GenAI Description</t>
  </si>
  <si>
    <t>Category</t>
  </si>
  <si>
    <t>Link</t>
  </si>
  <si>
    <t>Last Updated</t>
  </si>
  <si>
    <t>New contact</t>
  </si>
  <si>
    <t>Contact</t>
  </si>
  <si>
    <t>ContactLink</t>
  </si>
  <si>
    <t>Logo2</t>
  </si>
  <si>
    <t>IntendedPurpose</t>
  </si>
  <si>
    <t>Item Type</t>
  </si>
  <si>
    <t>Path</t>
  </si>
  <si>
    <t>What to do if asked (SW Center or SME approval)</t>
  </si>
  <si>
    <t>Procurement contact</t>
  </si>
  <si>
    <t>Persona</t>
  </si>
  <si>
    <t>{"fileName":"Reserved_ImageAttachment_[4]_[Logo][32]_[1802f42a919a443fb2f049250fb7819d][1]_[3].png","originalImageName":"abilitie-logo200"}</t>
  </si>
  <si>
    <t>Abilitie is an AI-powered experiential learning platform that simulates real-world leadership challenges through interactive case studies. It helps managers practice decision-making, communication, and strategic thinking in a risk-free environment.
Typical Use Case: Leadership development programs or onboarding new managers to strengthen critical leadership skills.</t>
  </si>
  <si>
    <t>Under Evaluation</t>
  </si>
  <si>
    <t>Last Updated: 10/31/2025</t>
  </si>
  <si>
    <r>
      <rPr>
        <i/>
        <sz val="11"/>
        <rFont val="Arial"/>
        <family val="2"/>
      </rPr>
      <t>Jack Schanz (SLC Point of contact)</t>
    </r>
    <r>
      <rPr>
        <sz val="11"/>
        <rFont val="Arial"/>
        <family val="2"/>
      </rPr>
      <t>; Lauren Tharp</t>
    </r>
  </si>
  <si>
    <t>Shah, Bhavesh P;#7362; Lauren Tharp</t>
  </si>
  <si>
    <t>Item</t>
  </si>
  <si>
    <t>sites/GLB-BTS-GAI/Lists/Capabilities and Gen AI tool list</t>
  </si>
  <si>
    <t>Developer</t>
  </si>
  <si>
    <t>{"fileName":"Reserved_ImageAttachment_[4]_[Logo][32]_[c1d270308f954c38ab20f1accc5dba12][1]_[5].png","originalImageName":"acolad200"}</t>
  </si>
  <si>
    <t>Translations &amp; Virtual Assistants</t>
  </si>
  <si>
    <t>Acolad enables fast, accurate translation and localization for global audiences. It is ideal for adapting product documentation or marketing campaigns into multiple languages. Use it to ensure brand consistency across regions and speed up multilingual content delivery for international launches.</t>
  </si>
  <si>
    <t>Available: Enterprise</t>
  </si>
  <si>
    <t>Last Updated: 2/17/2026</t>
  </si>
  <si>
    <t>Send info link first, the send to Sabiya Shaikh</t>
  </si>
  <si>
    <t>Stout, Dan #1658, Shaikh, Sabiya #2709 (do not publish these names)</t>
  </si>
  <si>
    <t>Acolad FAQ Site</t>
  </si>
  <si>
    <t>Ariba Portal - Sourcing Request (need link)</t>
  </si>
  <si>
    <t>Marketing</t>
  </si>
  <si>
    <t>General User</t>
  </si>
  <si>
    <t>{"fileName":"Reserved_ImageAttachment_[4]_[Logo][32]_[0eb2545ee6f84927a3a91a21148bedd4][2]_[13].png","originalImageName":"adobeexpress200"}</t>
  </si>
  <si>
    <t>Creative Content  and Image Generation</t>
  </si>
  <si>
    <t>Adobe Express helps you design professional-quality graphics and videos using AI-powered prompts. Perfect for creating social media posts, marketing banners, or quick visual assets without advanced design skills. Use it to accelerate creative workflows and maintain brand aesthetics effortlessly.</t>
  </si>
  <si>
    <t>Bedi, Sheena;#472;#Kaiser, Kevin;#2329</t>
  </si>
  <si>
    <t>Contact SME</t>
  </si>
  <si>
    <t>Kevin Kaiser, Christina Schroeder</t>
  </si>
  <si>
    <t>Sales</t>
  </si>
  <si>
    <t>{"fileName":"Reserved_ImageAttachment_[4]_[Logo][32]_[ec6ec6a5d4494911b19c54559cc15f5b][1]_[1].jpg","originalImageName":"adobefirefly"}</t>
  </si>
  <si>
    <t>Adobe Firefly is Adobe’s suite of generative‑AI models designed for creative work, offering tools for text‑to‑image, vector generation, design creation, and emerging text‑to‑video capabilities.</t>
  </si>
  <si>
    <t>genai-coe@abbott.com</t>
  </si>
  <si>
    <t>{"fileName":"Reserved_ImageAttachment_[4]_[Logo][32]_[21499932de39497fbb79a059921b621f][1]_[1].png","originalImageName":"adobegen200"}</t>
  </si>
  <si>
    <t>Removed</t>
  </si>
  <si>
    <t>Adobe Gen Studio is a generative AI platform that enables rapid creation of text, image, and soon video content using natural language prompts. It streamlines creative workflows, reduces production time, and enhances personalization.
Typical Use Case: Quickly generating marketing copy and visual assets for campaigns.</t>
  </si>
  <si>
    <t>On hold, evaluation did not move forward</t>
  </si>
  <si>
    <t>{"fileName":"Reserved_ImageAttachment_[4]_[Logo][32]_[4126ccb2ad3a4b2087b42c982b3098b7][1]_[1].png","originalImageName":"allego200"}</t>
  </si>
  <si>
    <t>Allego combines generative and agentic AI to transform sales enablement by automating content creation, coaching, and knowledge sharing. It helps sales teams stay informed and improve performance through personalized learning and real-time insights.
Typical Use Case: Creating tailored training modules for new sales representatives or updating product pitch materials quickly.</t>
  </si>
  <si>
    <t>Available: Division/Team Limited</t>
  </si>
  <si>
    <t>Joe Paolella</t>
  </si>
  <si>
    <t>Kyla Collins</t>
  </si>
  <si>
    <t>Limited Release</t>
  </si>
  <si>
    <t>{"fileName":"Reserved_ImageAttachment_[4]_[Logo][32]_[7ff48a53212d4db49e3175cf6cfa3cc1][1]_[1].jpg","originalImageName":"amazonaws200"}</t>
  </si>
  <si>
    <t>{"fileName":"Reserved_ImageAttachment_[4]_[Logo][32]_[0f623e71940e4555ba08be638e83ac65][1]_[1].jpg","originalImageName":"amazonbedrock200"}</t>
  </si>
  <si>
    <t>Amazon - Bedrock</t>
  </si>
  <si>
    <t>Amazon Bedrock is a fully managed service designed to simplify the building and scaling of generative AI applications.
It provides a single API to access high-performing foundation models from leading AI companies, including Anthropic, Meta, Mistral AI, and Amazon's own Titan model.</t>
  </si>
  <si>
    <t>{"fileName":"Reserved_ImageAttachment_[4]_[Logo][32]_[eef465a6abd946f3bfff481529b0d40a][1]_[1].jpg","originalImageName":"anima200"}</t>
  </si>
  <si>
    <t>Anima AI is a design‑to‑code automation platform that uses artificial intelligence to transform Figma designs, text prompts, images, or even cloned websites into clean, production‑ready HTML, React, Vue, or Tailwind code. It analyzes visual layouts, interprets design logic, and generates responsive components while maintaining brand consistency and design fidelity.</t>
  </si>
  <si>
    <t>Jamil A Shaikh</t>
  </si>
  <si>
    <t>RMDX Only</t>
  </si>
  <si>
    <t>{"fileName":"Reserved_ImageAttachment_[4]_[Logo][32]_[cf922bdcfd934b27ba5b0a25d37e6908][1]_[1].jpg","originalImageName":"claude200"}</t>
  </si>
  <si>
    <t>Claude is Anthropic’s family of large language models built with a strong emphasis on careful reasoning, safety, and high‑quality assistance across tasks like writing, coding, analysis, and multimodal understanding. Claude is grounded in Anthropic’s “constitutional AI” methodology, which trains models to follow explicit ethical guidelines and produce safer, more reliable responses.</t>
  </si>
  <si>
    <t>Jetalkumar Desai</t>
  </si>
  <si>
    <t>{"fileName":"Reserved_ImageAttachment_[4]_[Logo][32]_[217f5632269749299db145ed8dab9e3a][1]_[1].png","originalImageName":"Abbott200"}</t>
  </si>
  <si>
    <t>APLM uses large language model-driven semantic search to extract insights from product lifecycle documentation and design assets. It improves efficiency by enabling quick access to critical information for engineering and compliance teams.
Typical Use Case: Accelerating product development by retrieving design specifications and regulatory guidelines instantly.</t>
  </si>
  <si>
    <t>Renni Eappen</t>
  </si>
  <si>
    <t>{"fileName":"Reserved_ImageAttachment_[4]_[Logo][32]_[8f9a187532564de6a83be6e1579d7d22][1]_[1].png","originalImageName":"altassian200"}</t>
  </si>
  <si>
    <t>Rovo is Atlassian’s generative AI assistant embedded in tools like Jira and Confluence. It automates workflows, answers questions, and provides contextual insights from company data, reducing manual effort and improving team productivity.
Typical Use Case: Automating project updates and generating summaries for sprint planning.</t>
  </si>
  <si>
    <t>{"fileName":"Reserved_ImageAttachment_[4]_[Logo][32]_[e5388f1fb3244fa48e5a0125092dbf3d][1]_[1].png","originalImageName":"autogenAI200"}</t>
  </si>
  <si>
    <t>AutoGen</t>
  </si>
  <si>
    <t>AutogenAI is a generative AI platform designed to accelerate the creation of bids, proposals, and grant applications. It improves efficiency by reducing manual drafting and ensuring high-quality, persuasive content.
Typical Use Case: Preparing complex RFP responses quickly while maintaining compliance and brand tone.</t>
  </si>
  <si>
    <t>Shyna Hegde; Allen Rios</t>
  </si>
  <si>
    <t>UK Only</t>
  </si>
  <si>
    <t>Ariba portal requests</t>
  </si>
  <si>
    <t>{"fileName":"Reserved_ImageAttachment_[4]_[Logo][32]_[7eff27cd88bc4f76b9c124e06a04593b][1]_[9].png","originalImageName":"bussolver2002"}</t>
  </si>
  <si>
    <t>Businessolver simplifies employee benefits management with AI-driven support. It can answer benefits-related questions or guide employees through enrollment processes. Use it to reduce HR workload, improve employee satisfaction, and ensure accurate benefits administration during open enrollment periods.</t>
  </si>
  <si>
    <t>Jennie Nancee;Bhavesh Shah;Atul Sakhare</t>
  </si>
  <si>
    <t>HR Only</t>
  </si>
  <si>
    <t>{"fileName":"Reserved_ImageAttachment_[4]_[Logo][32]_[0b9846c31174477c8b4fe27511053209][1]_[1].png","originalImageName":"cascade200"}</t>
  </si>
  <si>
    <t>Cascade AI builds custom AI agents trained on an organization’s HR and benefits documentation to provide instant, accurate answers to employee questions. It improves onboarding, open enrollment, and policy navigation by reducing manual inquiries.
Typical Use Case: Assisting employees with benefits questions during open enrollment or guiding new hires through onboarding.</t>
  </si>
  <si>
    <t>Atul Sakhare; Bhavesh Shah</t>
  </si>
  <si>
    <t>{"fileName":"Reserved_ImageAttachment_[4]_[Logo][32]_[1a1a7c7345394a49ac43e3beffdace2f][1]_[5].png","originalImageName":"copilotstudio200"}</t>
  </si>
  <si>
    <t>Copilot Studio</t>
  </si>
  <si>
    <t>Copilot Studio is a platform for building and customizing AI-powered conversational agents tailored to organizational needs. It enables businesses to create bots that automate workflows, answer queries, and deliver personalized experiences.
Typical Use Case: Developing a virtual assistant to handle HR inquiries or streamline IT support requests.</t>
  </si>
  <si>
    <t>Jeremy Wachter</t>
  </si>
  <si>
    <t>BTS Only</t>
  </si>
  <si>
    <t>{"fileName":"Reserved_ImageAttachment_[4]_[Logo][32]_[4a52a80a45114130b1ebc616101e3ca2][1]_[5].png","originalImageName":"copilot200"}</t>
  </si>
  <si>
    <t>Copilot Web</t>
  </si>
  <si>
    <t xml:space="preserve">Enterprise Productivity Application </t>
  </si>
  <si>
    <t>Copilot Web acts as your AI assistant for everyday tasks like drafting emails,summarizing documents, and generating ideas. Use it to save time on repetitive work, improve productivity, and enhance collaboration across teams by providing quick, intelligent responses.</t>
  </si>
  <si>
    <t>Microsoft Copilot Web Site</t>
  </si>
  <si>
    <t>{"fileName":"Reserved_ImageAttachment_[4]_[Logo][32]_[44249d2e1d2049b7b2d60babd71d4313][1]_[1].jpg","originalImageName":"coveo200"}</t>
  </si>
  <si>
    <t xml:space="preserve">Coveo is an enterprise‑grade AI search and relevance platform that unifies content from across an organization and delivers highly personalized, context‑aware search results, recommendations, and generative answers. </t>
  </si>
  <si>
    <t>GMEA Only</t>
  </si>
  <si>
    <t>{"fileName":"Reserved_ImageAttachment_[4]_[Logo][32]_[10e6a7b3fea948f0a8d8a0562da39667][1]_[1].png","originalImageName":"databrick200"}</t>
  </si>
  <si>
    <t>Databricks Genie and AI Assistants</t>
  </si>
  <si>
    <t>Software Developer Experience</t>
  </si>
  <si>
    <t>Databricks Genie is a conversational AI assistant that converts natural language queries into executable code, making data analytics and exploration accessible to both technical and non-technical users. It accelerates insights and reduces manual coding.
AI Assistants Intelligent, context‑aware helpers that generate and fix code, explain queries, and support data analysis across notebooks and dashboards using natural language.</t>
  </si>
  <si>
    <t>Feeney, Patrick;#2227;#Raupova, Malika;#6769;Jetalkumar Desai</t>
  </si>
  <si>
    <t>{"fileName":"Reserved_ImageAttachment_[5]_[Logo2][32]_[99e1f81051e64233b594af7a7958e933][2]_[11].png","originalImageName":"databrick200"}</t>
  </si>
  <si>
    <t>Azure Databricks (AWS is not approved)</t>
  </si>
  <si>
    <t>SNOW</t>
  </si>
  <si>
    <t>{"fileName":"Reserved_ImageAttachment_[4]_[Logo][32]_[f3930ba507744e37b62de0cba7e28b4c][1]_[1].png","originalImageName":"deepsights200"}</t>
  </si>
  <si>
    <t>Process Automation &amp; Reporting</t>
  </si>
  <si>
    <t>DeepSights™ is an AI-powered assistant developed by Market Logic Software that centralizes market and consumer insights, enabling faster and smarter decision-making. It aggregates structured and unstructured data into one hub, helping teams uncover trends and actionable intelligence.
Typical Use Case: Supporting marketing teams in developing data-driven product strategies or campaign plans.</t>
  </si>
  <si>
    <t>Hayes, McKenna C ; Liz O'Hara</t>
  </si>
  <si>
    <t>{"fileName":"Reserved_ImageAttachment_[4]_[Logo][32]_[9f884be9897d4caa9fe91c0929837a36][1]_[1].png","originalImageName":"adobedynamic200"}</t>
  </si>
  <si>
    <t>Dynamic Media Smart Crop uses AI-driven content-aware technology to automatically identify the focal point of images or videos and crop them for different screen sizes. This ensures visual consistency without manual editing.
Typical Use Case: Optimizing product images for responsive e-commerce websites or mobile apps.</t>
  </si>
  <si>
    <t>{"fileName":"Reserved_ImageAttachment_[4]_[Logo][32]_[98b6a5e05943428286f9fd3b5677bb9b][1]_[1].png","originalImageName":"ecovadis200"}</t>
  </si>
  <si>
    <t>EcoVadis delivers sustainability insights across your supply chain. Use it to assess supplier compliance, identify environmental risks, and benchmark performance against industry standards. Ideal for organizations aiming to meet ESG goals and improve corporate responsibility.</t>
  </si>
  <si>
    <t>Elizabeth Tyler</t>
  </si>
  <si>
    <t>Corporate Global Procurement Services</t>
  </si>
  <si>
    <t>{"fileName":"Reserved_ImageAttachment_[4]_[Logo][32]_[db59475f04bc4a70893e40ff3b3fdf27][1]_[1].jpg","originalImageName":"embase200"}</t>
  </si>
  <si>
    <t>Embase</t>
  </si>
  <si>
    <t>Embase AI is a generative‑AI–powered extension of Elsevier’s biomedical literature database that lets users search vast libraries using natural‑language questions instead of complex query syntax. It instantly summarizes findings from millions of peer‑reviewed articles, clinical trials, preprints, and conference abstracts, grounding every answer in fully referenced sources for transparency.</t>
  </si>
  <si>
    <t>Betsy Hughes</t>
  </si>
  <si>
    <t>ARC Only</t>
  </si>
  <si>
    <t>{"fileName":"Reserved_ImageAttachment_[4]_[Logo][32]_[02ae879c3c3d4671a4001ba45d6d9d6c][1]_[1].png","originalImageName":"figma200"}</t>
  </si>
  <si>
    <t>Figma AI is an intelligent design assistant that accelerates workflows by automating repetitive tasks and generating creative layouts. It empowers teams to prototype, wireframe, and design efficiently while maintaining high-quality output.
Typical Use Case: Quickly creating interactive prototypes for a new app or website design.</t>
  </si>
  <si>
    <t>Aleks Kawa</t>
  </si>
  <si>
    <t>{"fileName":"Reserved_ImageAttachment_[4]_[Logo][32]_[f36ceb5a6e074284a35241e9e46bed48][1]_[1].png","originalImageName":"five9200"}</t>
  </si>
  <si>
    <t>Five9 is a cloud-based platform that manages customer interactions across voice, chat, email, SMS, and social channels. Its AI capabilities improve call routing, automate responses, and enhance customer experience.
Typical Use Case: Handling high-volume customer support inquiries through intelligent virtual agents and automated workflows.</t>
  </si>
  <si>
    <t xml:space="preserve">Jochen Hammer ; Guenther Lembach </t>
  </si>
  <si>
    <t>{"fileName":"Reserved_ImageAttachment_[4]_[Logo][32]_[c43b5e8f776d42d0a2e9dfe9321d27f3][1]_[1].jpg","originalImageName":"gallup200"}</t>
  </si>
  <si>
    <t>Gallup AI</t>
  </si>
  <si>
    <t>Mark Baker; Atul Sakhare;Bhavesh Shah</t>
  </si>
  <si>
    <t>{"fileName":"Reserved_ImageAttachment_[4]_[Logo][32]_[4e36f337a9104085893c754f8afdabd8][1]_[1].png","originalImageName":"githubcopilot200"}</t>
  </si>
  <si>
    <t>GitHub Copilot</t>
  </si>
  <si>
    <t>GitHub Copilot accelerates coding by suggesting real-time code snippets and solutions. Use it to write new functions, debug existing code, or learn unfamiliar programming languages. It’s a powerful tool for developers seeking efficiency and reduced development time.</t>
  </si>
  <si>
    <t>Feeney, Patrick;#2227</t>
  </si>
  <si>
    <t>{"fileName":"Reserved_ImageAttachment_[4]_[Logo][32]_[a8aab56bc07e46ae94dc4fa137f705dd][1]_[1].png","originalImageName":"gemini200"}</t>
  </si>
  <si>
    <t>Google Gemini</t>
  </si>
  <si>
    <t>Google Gemini is a multimodal AI platform that understands and generates text, images, audio, video, and code. It enables advanced content creation and data analysis across diverse formats, improving productivity and creativity.
Typical Use Case: Generating marketing visuals and copy simultaneously for a product launch campaign.</t>
  </si>
  <si>
    <t>{"fileName":"Reserved_ImageAttachment_[4]_[Logo][32]_[ddf8290faec84c96adaab4a8bf69c05d][1]_[1].png","originalImageName":"humaai200"}</t>
  </si>
  <si>
    <t>Huma.ai is a generative AI platform tailored for life sciences and healthcare. It enables professionals to extract actionable insights from complex, siloed data using natural language queries, improving collaboration and decision-making.
Typical Use Case: Accelerating regulatory intelligence by quickly analyzing clinical trial data and compliance documents.</t>
  </si>
  <si>
    <t>Fizan Khan</t>
  </si>
  <si>
    <t>ADC Only</t>
  </si>
  <si>
    <t>Other</t>
  </si>
  <si>
    <t>{"fileName":"Reserved_ImageAttachment_[4]_[Logo][32]_[3dac585c05134e5b8dbfaee1cac77268][1]_[1].png","originalImageName":"Abbott200"}</t>
  </si>
  <si>
    <t>Human Chain applies generative AI to orchestrate workflows and summarize documents across supply chain processes. It improves operational efficiency by automating repetitive tasks and providing quick insights for decision-making.
Typical Use Case: Streamlining supplier onboarding by summarizing compliance documents and automating approval workflows.</t>
  </si>
  <si>
    <t>{"fileName":"Reserved_ImageAttachment_[4]_[Logo][32]_[acd0e813e8bb41a8916de38aee6fc3ec][1]_[1].png","originalImageName":"indegene200"}</t>
  </si>
  <si>
    <t>Indegene leverages AI to automate medical, legal, and regulatory (MLR) review processes for life sciences organizations. It enhances compliance, speeds up content approval, and reduces manual effort in pharmaceutical and biotech workflows.
Typical Use Case: Automating regulatory content review for faster product launches in global markets.</t>
  </si>
  <si>
    <t>Joey Larrowe; Ariane Ferreira</t>
  </si>
  <si>
    <t>{"fileName":"Reserved_ImageAttachment_[4]_[Logo][32]_[9155c23950604adb8a7e4e472d668bd9][1]_[1].jpg","originalImageName":"infodesk200"}</t>
  </si>
  <si>
    <t>Infodesk is an enterprise decision‑intelligence platform that centralizes and enriches information from diverse sources—licensed content, internal documents, analyst feeds, and the open web—to deliver clear, validated insights directly into organizational workflows.</t>
  </si>
  <si>
    <t>{"fileName":"Reserved_ImageAttachment_[4]_[Logo][32]_[3b364d5f036946c79b79517080fb9a5e][1]_[1].png","originalImageName":"langchain200"}</t>
  </si>
  <si>
    <t>LangChain helps build AI-driven applications with structured workflows and integrations. Use it to create chatbots, automate data pipelines, or develop custom AI solutions that improve operational efficiency and scalability for complex business processes.</t>
  </si>
  <si>
    <t>Arpan Vora</t>
  </si>
  <si>
    <t>{"fileName":"Reserved_ImageAttachment_[4]_[Logo][32]_[e15a8005951248978cce6fb24046e786][1]_[1].png","originalImageName":"langfuse-logo-png"}</t>
  </si>
  <si>
    <t>Langfuse provides monitoring and evaluation for AI applications. Use it to track performance metrics, debug issues, and optimize models in production environments. Ideal for teams focused on reliability and continuous improvement of AI systems.</t>
  </si>
  <si>
    <t>{"fileName":"Reserved_ImageAttachment_[4]_[Logo][32]_[55ee2418fa934d519eb505c2d5505818][1]_[1].jpg","originalImageName":"loopio"}</t>
  </si>
  <si>
    <t>Execute production pilot to streamline RFP response process by leveraging GenAI trained on historical RFPs, approved responses, and revision patterns to reduce manual effort and rework across intake, authoring, collaboration, and packaging.</t>
  </si>
  <si>
    <t>Tammy Corwin </t>
  </si>
  <si>
    <t>CoreDX Only</t>
  </si>
  <si>
    <t>{"fileName":"Reserved_ImageAttachment_[4]_[Logo][32]_[74c753068283492385f4babc8e84bbcd][1]_[1].png","originalImageName":"m365copilot200"}</t>
  </si>
  <si>
    <t>M365 Copilot</t>
  </si>
  <si>
    <t>M365 Copilot is an AI-powered assistant embedded in Microsoft 365 apps like Word, Excel, PowerPoint, Outlook, and Teams. It boosts productivity by generating content, analyzing data, and automating routine tasks.
Typical Use Case: Drafting reports in Word or creating data-driven presentations in PowerPoint with minimal manual effort.</t>
  </si>
  <si>
    <t>{"fileName":"Reserved_ImageAttachment_[4]_[Logo][32]_[bdb70ed9f33447ffbd229a3298aaf2b3][1]_[1].jpg","originalImageName":"matlab200"}</t>
  </si>
  <si>
    <t>MatLab Library</t>
  </si>
  <si>
    <t>Helps engineers and scientists accelerate development by suggesting code, generating functions from plain‑language descriptions, explaining errors, and providing context‑aware answers sourced from MathWorks documentation and real‑world examples.</t>
  </si>
  <si>
    <t>Jeff Moore</t>
  </si>
  <si>
    <t>MD Only</t>
  </si>
  <si>
    <t>{"fileName":"Reserved_ImageAttachment_[4]_[Logo][32]_[cacbe61bd68f4e1c9189c04e9ee8dfd3][1]_[8].png","originalImageName":"mialogo"}</t>
  </si>
  <si>
    <t>Mia</t>
  </si>
  <si>
    <t>Mia is Abbott’s internal virtual agent that delivers quick answers from SOPs and customer inquiries. Use it to reduce response times, improve compliance, and streamline support for employees and customers across multiple business units.</t>
  </si>
  <si>
    <t>Luthra, Nitesh;#199;#Bedi, Sheena;#472;#Jain, Jinesh;#4061</t>
  </si>
  <si>
    <t>Sheena Bedi</t>
  </si>
  <si>
    <t>{"fileName":"Reserved_ImageAttachment_[4]_[Logo][32]_[06f03673b9d3401aac89e183341b5a76][1]_[1].jpg","originalImageName":"aZure200"}</t>
  </si>
  <si>
    <t>Microsoft Azure</t>
  </si>
  <si>
    <t xml:space="preserve">Microsoft Azure is an enterprise‑grade cloud platform that provides a broad suite of AI services, foundation models, and development tools designed to help organizations build scalable, secure, and production‑ready AI applications. </t>
  </si>
  <si>
    <t>Mark Daavettila</t>
  </si>
  <si>
    <t>{"fileName":"Reserved_ImageAttachment_[4]_[Logo][32]_[612c1e5d79f4402cbe808cd8721b8adc][1]_[1].png","originalImageName":"mistralai200"}</t>
  </si>
  <si>
    <t>Mistral provides enterprise-grade, open-weight generative AI solutions that allow organizations to build and customize multilingual, multimodal AI models. It supports domain-specific applications and ensures flexibility for complex business needs.
Typical Use Case: Deploying custom AI agents for multilingual customer support or specialized industry workflows.</t>
  </si>
  <si>
    <t>{"fileName":"Reserved_ImageAttachment_[4]_[Logo][32]_[30c0cc76790f4961977cd3546b2d2aac][1]_[1].png","originalImageName":"neurons200"}</t>
  </si>
  <si>
    <t>Neuron AI predicts audience behavior and optimizes ad performance by simulating how people perceive creative content. It combines cognitive science and machine learning to improve engagement before campaigns launch.
Typical Use Case: Testing ad variations to identify the most effective design and messaging for a target audience.</t>
  </si>
  <si>
    <t xml:space="preserve">Sylvia Wenzhao Bi </t>
  </si>
  <si>
    <t>{"fileName":"Reserved_ImageAttachment_[4]_[Logo][32]_[f2fc5ce4111445e5bdf0e4c978ec35c8][1]_[1].jpg","originalImageName":"Neuron7200"}</t>
  </si>
  <si>
    <t>Daniel Kupetz</t>
  </si>
  <si>
    <t>{"fileName":"Reserved_ImageAttachment_[4]_[Logo][32]_[718c8e7740ab41ab926cdd606a0b5bc8][1]_[1].png","originalImageName":"newrelic"}</t>
  </si>
  <si>
    <t>New Relic is an observability platform that monitors and optimizes application and infrastructure performance in real time. Its AI assistant provides trend analysis and actionable insights, reducing downtime and improving reliability.
Typical Use Case: Detecting anomalies in cloud application performance and recommending fixes before issues escalate.</t>
  </si>
  <si>
    <t xml:space="preserve">Suresh Sunkari; Raj Rajasekaran </t>
  </si>
  <si>
    <t>{"fileName":"Reserved_ImageAttachment_[4]_[Logo][32]_[976328a8de344cf08aee029eae465287][1]_[1].png","originalImageName":"openai200"}</t>
  </si>
  <si>
    <t>OpenAI is available for POC as part of certain use cases only. It provides advanced AI models that can understand and generate human-like text, making it ideal for tasks like writing, brainstorming, summarizing, and answering questions. It’s designed to help users work smarter and faster by turning ideas into clear, actionable content.
Typical use case: Drafting a professional email or creating engaging blog content in minutes.</t>
  </si>
  <si>
    <t>{"fileName":"Reserved_ImageAttachment_[4]_[Logo][32]_[7b2a7a20247b49259ea39b56ab5ffc43][1]_[1].png","originalImageName":"percipio200"}</t>
  </si>
  <si>
    <t>Learning Authoring</t>
  </si>
  <si>
    <t>Percipio is a modern learning platform developed by Skillsoft that offers thousands of courses, videos, and books to help individuals and teams build new skills. It’s designed for easy access and personalized learning paths enhanced with AI, making professional development simple and engaging.
Typical use case: An employee uses Percipio to complete a leadership training course at their own pace.</t>
  </si>
  <si>
    <t>Lauren Tharp;Bhavesh Shah</t>
  </si>
  <si>
    <t>{"fileName":"Reserved_ImageAttachment_[4]_[Logo][32]_[e9b3149944034f63999a3508f1e8c57c][1]_[1].png","originalImageName":"phenom200"}</t>
  </si>
  <si>
    <t>Phenom X+ is an AI-powered platform designed to transform HR and talent management. It automates repetitive tasks like writing job descriptions, screening resumes, and personalizing candidate communications, while providing deep insights for smarter hiring and retention strategies.
Typical use case: A recruiter uses Phenom X+ to instantly generate tailored job postings and candidate outreach emails, saving hours and improving engagement.</t>
  </si>
  <si>
    <t>Kyle Taft</t>
  </si>
  <si>
    <t>{"fileName":"Reserved_ImageAttachment_[4]_[Logo][32]_[f968c2d842e4424a998db0a508f9a192][1]_[1].png","originalImageName":"copilotpowerbi200"}</t>
  </si>
  <si>
    <t>Power BI Copilot</t>
  </si>
  <si>
    <t>Power BI Copilot is an AI assistant built into Power BI that helps you turn raw data into clear insights using simple, natural language. Instead of writing complex formulas or building visuals manually, you can ask questions and instantly get charts, summaries, and even full reports.
Typical use case: A business analyst types “Show quarterly sales trends” and Copilot generates a visual and a short narrative, saving hours of manual work.</t>
  </si>
  <si>
    <t>Install Chat Power BI</t>
  </si>
  <si>
    <t>{"fileName":"Reserved_ImageAttachment_[4]_[Logo][32]_[19bdfbb81c1d4f3cb926f1ffd312edec][1]_[1].png","originalImageName":"promptfoo200"}</t>
  </si>
  <si>
    <t>Promptfoo is an open-source tool that helps developers test and secure AI applications by evaluating prompts and scanning for vulnerabilities. It brings software-quality practices to AI development, ensuring prompts work reliably and safely across different models.
Typical use case: A developer uses Promptfoo to run automated tests on chatbot prompts, catching security risks like prompt injection before deployment.</t>
  </si>
  <si>
    <t>Jeffery Nashida</t>
  </si>
  <si>
    <t>{"fileName":"Reserved_ImageAttachment_[4]_[Logo][32]_[7c19caa12424444e934c945aed90dcc8][1]_[1].png","originalImageName":"rosslyn200"}</t>
  </si>
  <si>
    <t>Rosslyn is an AI-driven procurement intelligence platform that helps organizations gain full visibility into their spending. It consolidates and cleans supplier data from multiple sources, then uses predictive analytics and machine learning to uncover cost-saving opportunities and reduce risk.
Typical use case: A procurement team uses Rosslyn to analyze global supplier data, identify inefficiencies, and implement strategies that save millions annually.</t>
  </si>
  <si>
    <t xml:space="preserve">Julieane oleary </t>
  </si>
  <si>
    <t>{"fileName":"Reserved_ImageAttachment_[4]_[Logo][32]_[1eabf329c0f6426c80ef3b5c6e310dba][1]_[1].jpg","originalImageName":"agentforce200"}</t>
  </si>
  <si>
    <t>Salesforce Agentforce</t>
  </si>
  <si>
    <t>Salesforce Agentforce is an enterprise grade AI agent platform that lets companies build, deploy, and manage autonomous digital workers inside the Salesforce ecosystem. Unlike traditional chatbots, Agentforce agents can reason, take actions, and automate end to end workflows across sales, service, marketing, and operations—powered by Salesforce data, flows, and governance controls.</t>
  </si>
  <si>
    <t>Dharmendra Kumar; Karthik R Kachana</t>
  </si>
  <si>
    <t>AN Only</t>
  </si>
  <si>
    <t>{"fileName":"Reserved_ImageAttachment_[4]_[Logo][32]_[54767d8576bf43f79c2912ec4ec5a2c5][1]_[1].png","originalImageName":"salesforce200"}</t>
  </si>
  <si>
    <t>Salesforce AI</t>
  </si>
  <si>
    <t>Salesforce GenAI combines generative AI with the Salesforce ecosystem to automate tasks, create personalized content, and deliver real-time insights. Built on Einstein GPT and integrated with Data Cloud, it helps businesses improve customer engagement while maintaining security through the Einstein Trust Layer.
Typical use case: A sales team uses GenAI to draft tailored email campaigns and generate predictive insights on customer behavior, saving time and boosting conversion rates.</t>
  </si>
  <si>
    <t>{"fileName":"Reserved_ImageAttachment_[4]_[Logo][32]_[49c1c49a63394bf590b88030344ff6b9][1]_[1].png","originalImageName":"synthesia200"}</t>
  </si>
  <si>
    <t>Synthesia creates engaging training videos from scripts or presentations, complete with voice and translation features. Use it to produce multilingual onboarding videos or product tutorials without hiring actors or video crews, saving time and cost.</t>
  </si>
  <si>
    <t>Verga, Donna;#5628;Lori Darsie Munter</t>
  </si>
  <si>
    <t>Cyber Training Only</t>
  </si>
  <si>
    <t>{"fileName":"Reserved_ImageAttachment_[4]_[Logo][32]_[8c7d186f21cf4936b43e25f3db55f587][1]_[6].png","originalImageName":"viaren200"}</t>
  </si>
  <si>
    <t>Via Renaissance</t>
  </si>
  <si>
    <t>Via Renaissance is an AI-powered leadership coaching platform that provides personalized guidance and interactive chat-based support for managers and executives. It helps leaders strengthen communication, decision-making, and team engagement skills in real-world scenarios.
Typical Use Case: Preparing for performance reviews or coaching sessions to improve leadership effectiveness.</t>
  </si>
  <si>
    <t>Martin Frey</t>
  </si>
  <si>
    <t>{"fileName":"Reserved_ImageAttachment_[4]_[Logo][32]_[e2c9ba90e6334c2eb45a2510bb44ced6][1]_[1].png","originalImageName":"virtualspeech200"}</t>
  </si>
  <si>
    <t>VirtualSpeech combines AI and virtual reality to help people master soft skills like public speaking, leadership, and sales. Users practice in realistic scenarios—online or in VR—and receive instant AI feedback to improve faster. It’s immersive, practical, and confidence-building.
Typical use case: A professional uses VirtualSpeech to rehearse a big presentation in a simulated conference room, getting real-time feedback on tone, pacing, and eye contact.</t>
  </si>
  <si>
    <t>{"fileName":"Reserved_ImageAttachment_[4]_[Logo][32]_[2d10e354b95942839e6ea37ed28b1bdc][1]_[1].png","originalImageName":"writer200"}</t>
  </si>
  <si>
    <t>Writer.ai is an enterprise-grade generative AI platform that helps businesses create custom AI agents and apps for tasks like content generation, workflow automation, and data analysis. It combines proprietary language models with your company’s data to deliver accurate, brand-compliant outputs.
Typical use case: A marketing team uses Writer.ai to generate campaign copy aligned with brand guidelines and automate repetitive tasks, saving time and ensuring consistency.</t>
  </si>
  <si>
    <t>Steve Spangler is the contact for reuse</t>
  </si>
  <si>
    <t>EPD &amp; GMEA Only</t>
  </si>
  <si>
    <t>{"fileName":"Reserved_ImageAttachment_[4]_[Logo][32]_[af0935c5afd1403387de2de74969d48a][1]_[1].png","originalImageName":"zendesk200"}</t>
  </si>
  <si>
    <t>Zendesk automates customer and employee support workflows, handling common inquiries and routing tickets efficiently. Use it to improve service quality, reduce manual effort, and deliver faster resolutions for both internal and external stakeholders.</t>
  </si>
  <si>
    <t>Bhavesh Shah;Bhavesh Shah</t>
  </si>
  <si>
    <r>
      <rPr>
        <b/>
        <sz val="18"/>
        <color rgb="FFC00000"/>
        <rFont val="Aptos Narrow"/>
        <family val="2"/>
        <scheme val="minor"/>
      </rPr>
      <t>62**</t>
    </r>
    <r>
      <rPr>
        <b/>
        <sz val="18"/>
        <color theme="1"/>
        <rFont val="Aptos Narrow"/>
        <family val="2"/>
        <scheme val="minor"/>
      </rPr>
      <t xml:space="preserve"> ESC Approved GenAI Use Cases</t>
    </r>
  </si>
  <si>
    <t>New</t>
  </si>
  <si>
    <t>Existing</t>
  </si>
  <si>
    <t>Number</t>
  </si>
  <si>
    <t>Status</t>
  </si>
  <si>
    <t>Buy/Build</t>
  </si>
  <si>
    <t>Use Cases</t>
  </si>
  <si>
    <t xml:space="preserve">9 in production </t>
  </si>
  <si>
    <t>Buy</t>
  </si>
  <si>
    <t>#16 Github -- enterprise productivity tool</t>
  </si>
  <si>
    <t>Build</t>
  </si>
  <si>
    <t>#106 Corp - Audit board report --- content creation</t>
  </si>
  <si>
    <t>#211 Mia --- virtual assistant</t>
  </si>
  <si>
    <t>#195 BTS cyber e-learning --- text-to-video</t>
  </si>
  <si>
    <t>#252 Adobe Express - enterprise productivity tool</t>
  </si>
  <si>
    <t>#87 OEC evaluation of written materials for monitoring --- translation</t>
  </si>
  <si>
    <t>#90 MD automated translation tool for websites --- translation</t>
  </si>
  <si>
    <t>#86 MD clinical study doc translation --- translation</t>
  </si>
  <si>
    <t>#146 Corp OEC legal counsel evaluation of translation --- translation</t>
  </si>
  <si>
    <t>6 in Project Execution</t>
  </si>
  <si>
    <t>#91 AN Manu maintenance optimization --- insight generation</t>
  </si>
  <si>
    <t>#93 Corp HR Virtual Speech for practicing soft skills - personalize content</t>
  </si>
  <si>
    <t xml:space="preserve">#59 EPD medical affairs scientific content production --- content creation </t>
  </si>
  <si>
    <t>#263 HR BusinesSolver Benefit Vendor - insight generation</t>
  </si>
  <si>
    <t>#240 DTS AI enabled tool - process automation - Figma only - enterprise productivity tool</t>
  </si>
  <si>
    <t>#255 ADC food choice assist - image identification (use OpenAI LLM)</t>
  </si>
  <si>
    <t>10 in Production Pilot</t>
  </si>
  <si>
    <t>#149 EPD Smartrep --- insights generation</t>
  </si>
  <si>
    <t>10 in Pilot</t>
  </si>
  <si>
    <t>#276 ANI UK Smart Proposal with AutoGenAI - Search and generate insights/reports</t>
  </si>
  <si>
    <t>#280 ADC Scientific Literature Review w/Huma.ai - search and generate insights</t>
  </si>
  <si>
    <t>#243 HR Phenom AI - search &amp; generate insights</t>
  </si>
  <si>
    <t>#279 AN RADIA - search &amp; generate insights</t>
  </si>
  <si>
    <t>#281 HR AI Assisted Search in Percipio - virtual assistant</t>
  </si>
  <si>
    <t>#290 BTS AI COSIMO Virtual Coach via Renaissance - virtual assistant</t>
  </si>
  <si>
    <t xml:space="preserve">#219 L&amp;D Abilities - insights generation </t>
  </si>
  <si>
    <t>#203 HR Cascade - virtual assistant (build AI chatbot w/ HR content)</t>
  </si>
  <si>
    <t>#232 HR Zendesk - virtual assistant</t>
  </si>
  <si>
    <t>13 in PoC Execution</t>
  </si>
  <si>
    <t>#238 AN procurement negotiation assistant - insight generation (build in Abbott sandbox)</t>
  </si>
  <si>
    <t>#250 EPD value promotion - content creation</t>
  </si>
  <si>
    <t>#197 OEC HCP/HCO engagement - insight generation (create relationship models)</t>
  </si>
  <si>
    <t>#210 Corp procurement Microsoft agreement - insights/report generation</t>
  </si>
  <si>
    <t>#202 ADC competitive intelligence - insights generation</t>
  </si>
  <si>
    <t xml:space="preserve">13 in poc </t>
  </si>
  <si>
    <t>#157 Corp HR coaching tips for leaders --- insights generation</t>
  </si>
  <si>
    <t>#267 ADC Ad &amp; Promo GAI Review Tool for Claims (Indegene) - enterprise productivity tool</t>
  </si>
  <si>
    <t>#236 RMDx CMI Maintenance Optimization GenAI - insight generation</t>
  </si>
  <si>
    <t>#269 Lingo AI Assistant and Insights - Virtual Assistant</t>
  </si>
  <si>
    <t>#260 BTS Global Service Desk AI Agents - Virtual Assistant</t>
  </si>
  <si>
    <t>#231 CoreDx GAI Search within APLM - Search and Generate insights</t>
  </si>
  <si>
    <t>#277 EPD Strategic Sourcing Optimization - Search and Generate insights</t>
  </si>
  <si>
    <t>#285 MD Systematic Literature Review - Enterprise Productivity Tool</t>
  </si>
  <si>
    <t>9 completed PoC and not processing to project</t>
  </si>
  <si>
    <t>#135 Corp BTS PowerBI --- enterprise productivity tool</t>
  </si>
  <si>
    <t xml:space="preserve">#11 AN Incentive centralization --- forecasting </t>
  </si>
  <si>
    <t>#92 AN validation doc authorization --- content creation --- narrow AI and move to project not as GenAI</t>
  </si>
  <si>
    <t>#10 ADC AI focus assist --- image identification --- identified other solutions</t>
  </si>
  <si>
    <t>#212 GMEA Channelizer --- enterprise productivity tool-- hand to DT</t>
  </si>
  <si>
    <t>#185 Procurement Rosslyn --- report/insight generation -- not meet expectation</t>
  </si>
  <si>
    <t>#214 EPD Campaign coach --- personalize content (Salesforce)</t>
  </si>
  <si>
    <t>#209 Enterprise Teams premium --- enterprise productivity tool</t>
  </si>
  <si>
    <t>#233 ARDx Workplace eScreen - enterprise productivity tool</t>
  </si>
  <si>
    <t>12 PoC on-hold: due to business priority, capacity and resource constraints</t>
  </si>
  <si>
    <t>#189 GMEA brand check --- enterprise productivity tool</t>
  </si>
  <si>
    <t>#60 EPD Content generation for external facing digital assets --- content creation</t>
  </si>
  <si>
    <t>#61 EPD information extraction using language translation and text summarization --- search, summarize, generate report/insights</t>
  </si>
  <si>
    <t>#123 ANPD competitive intelligence -- virtual assistant</t>
  </si>
  <si>
    <t xml:space="preserve">#127 Food Logging --- image identification </t>
  </si>
  <si>
    <t>Buy/customized build</t>
  </si>
  <si>
    <t>#224 ADC Personalized HCP Content --- personalize content (Salesforce)</t>
  </si>
  <si>
    <t>#205 BTS SLC doc generation - virtual assistant</t>
  </si>
  <si>
    <t>#254 EPD/GMEA AI-Powered Campaign Screener - insights generation</t>
  </si>
  <si>
    <t>#235 GMEA Sprinklr - insights generation</t>
  </si>
  <si>
    <t>Build/Buy (writer)</t>
  </si>
  <si>
    <t>#17 GMEA newsroom --- content creation</t>
  </si>
  <si>
    <t>#213 CB --- content creation</t>
  </si>
  <si>
    <t>#36 ARDx R&amp;D doc generation --- content creation</t>
  </si>
  <si>
    <t>3 PoC cancelled: lack of business requirement/ resource/value</t>
  </si>
  <si>
    <t>#77 MD Manu doc verbiage assist --- content creation</t>
  </si>
  <si>
    <t>#78 MD government procedure identifier --- insights generation</t>
  </si>
  <si>
    <t>#108 Audit doc and evidence translator --- translation</t>
  </si>
  <si>
    <t>**Not Counted</t>
  </si>
  <si>
    <t>#261 ADC MyFreeStyle (Sweetch) Food Logging - image identification</t>
  </si>
  <si>
    <t>Project Planning</t>
  </si>
  <si>
    <t>**Not Duplicate</t>
  </si>
  <si>
    <t>#240 DTS Developer Tools - Databrick Genie</t>
  </si>
  <si>
    <t>Pilot</t>
  </si>
  <si>
    <t>SaaS/PaaS Tool</t>
  </si>
  <si>
    <t>Approval</t>
  </si>
  <si>
    <t>Priorities</t>
  </si>
  <si>
    <t>Insight Generation</t>
  </si>
  <si>
    <t xml:space="preserve">High </t>
  </si>
  <si>
    <t>1) In Project Planning or Production now; 
2) Pursue leadership approval in March to start Project Planning</t>
  </si>
  <si>
    <t>Image Identification</t>
  </si>
  <si>
    <t>1) In POC Execution; 
2) Pursue Leadership approval in March to start PoC</t>
  </si>
  <si>
    <t>SaaS &amp; PaaS</t>
  </si>
  <si>
    <t>Forecasting</t>
  </si>
  <si>
    <t>1) Under shaping/assessment - not start approval journey; 2) Finished PoC but decide not to move forward</t>
  </si>
  <si>
    <t>Code/Content Creation</t>
  </si>
  <si>
    <t>Summarization</t>
  </si>
  <si>
    <t>Reporting</t>
  </si>
  <si>
    <t>Search</t>
  </si>
  <si>
    <t>Use Case Capabilities</t>
  </si>
  <si>
    <t>Capability Definition Definition</t>
  </si>
  <si>
    <t>Analysis of documentation, reports, forecasts, etc.. and the subsequent utilization of AI to produce novel insights from analyzed content (first order logic)</t>
  </si>
  <si>
    <t>Ingestion an image and engage in any array of actions based off image content</t>
  </si>
  <si>
    <t>Ingestion of a given data set and extrapolation based off it</t>
  </si>
  <si>
    <t>Project Management</t>
  </si>
  <si>
    <t>Guidance on PM activities like setting timelines, comms, stakeholders, etc..</t>
  </si>
  <si>
    <t>Generation of text, images, videos, or audio for non-reporting, non-forecasting purposes</t>
  </si>
  <si>
    <t>Distillation of key points from a text, image, audio, or video</t>
  </si>
  <si>
    <t>Creation of other targeted content (reports), with a heavier focus on formatting and guideline adherence</t>
  </si>
  <si>
    <t>Complete replacement of tasks within any given business process as well as partial automation, handover automation, etc…</t>
  </si>
  <si>
    <t>Advisory</t>
  </si>
  <si>
    <t>Pointed recommendations (second order logic)</t>
  </si>
  <si>
    <t>Semantic Search</t>
  </si>
  <si>
    <t>Common language search of an array of filetypes</t>
  </si>
  <si>
    <t>Creation of other targeted content (code), with a heavier requirement for accuracy in syntax and contextual evaluation</t>
  </si>
  <si>
    <t>Agents</t>
  </si>
  <si>
    <t>Fully conversational AI requiring an array of background functions to handle conversations for different scenarios</t>
  </si>
  <si>
    <t>Quality Check</t>
  </si>
  <si>
    <t>Comparative analysis given content against a set of set and dynamically generated rules</t>
  </si>
  <si>
    <t xml:space="preserve">Sales Optimization </t>
  </si>
  <si>
    <t>Analysis of patterns in customer behavior to identify trends and predict future needs</t>
  </si>
  <si>
    <t>Count of GenAI Capability</t>
  </si>
  <si>
    <t>(blank)</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</si>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</sst>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sz val="11"/>
      <color theme="1"/>
      <name val="Calibri"/>
      <family val="2"/>
    </font>
    <font>
      <b/>
      <sz val="11"/>
      <color theme="1"/>
      <name val="Calibri"/>
      <family val="2"/>
    </font>
    <font>
      <b/>
      <sz val="12"/>
      <color rgb="FFFFFFFF"/>
      <name val="Georgia"/>
      <family val="1"/>
    </font>
    <font>
      <sz val="12"/>
      <color rgb="FF000000"/>
      <name val="Georgia"/>
      <family val="1"/>
    </font>
    <font>
      <sz val="11"/>
      <color rgb="FF000000"/>
      <name val="Calibri"/>
      <family val="2"/>
    </font>
    <font>
      <sz val="11"/>
      <color theme="1"/>
      <name val="Aptos Narrow"/>
      <family val="2"/>
      <scheme val="minor"/>
    </font>
    <font>
      <b/>
      <sz val="11"/>
      <color theme="1"/>
      <name val="Aptos Narrow"/>
      <family val="2"/>
      <scheme val="minor"/>
    </font>
    <font>
      <b/>
      <sz val="18"/>
      <color theme="1"/>
      <name val="Calibri"/>
      <family val="2"/>
    </font>
    <font>
      <b/>
      <sz val="16"/>
      <color theme="1"/>
      <name val="Calibri"/>
      <family val="2"/>
    </font>
    <font>
      <sz val="11"/>
      <name val="Calibri"/>
      <family val="2"/>
    </font>
    <font>
      <sz val="11"/>
      <name val="Aptos Narrow"/>
      <family val="2"/>
      <scheme val="minor"/>
    </font>
    <font>
      <sz val="11"/>
      <color theme="0" tint="-0.499984740745262"/>
      <name val="Aptos Narrow"/>
      <family val="2"/>
      <scheme val="minor"/>
    </font>
    <font>
      <sz val="11"/>
      <color rgb="FFFF0000"/>
      <name val="Calibri"/>
      <family val="2"/>
    </font>
    <font>
      <b/>
      <sz val="18"/>
      <color theme="1"/>
      <name val="Aptos Narrow"/>
      <family val="2"/>
      <scheme val="minor"/>
    </font>
    <font>
      <b/>
      <sz val="18"/>
      <color rgb="FFC00000"/>
      <name val="Aptos Narrow"/>
      <family val="2"/>
      <scheme val="minor"/>
    </font>
    <font>
      <b/>
      <sz val="11"/>
      <name val="Aptos Narrow"/>
      <family val="2"/>
      <scheme val="minor"/>
    </font>
    <font>
      <u/>
      <sz val="11"/>
      <color theme="10"/>
      <name val="Aptos Narrow"/>
      <family val="2"/>
      <scheme val="minor"/>
    </font>
    <font>
      <b/>
      <sz val="11"/>
      <color rgb="FFFFFFFF"/>
      <name val="Aptos Narrow"/>
      <family val="2"/>
    </font>
    <font>
      <sz val="11"/>
      <color rgb="FF000000"/>
      <name val="Aptos Narrow"/>
      <family val="2"/>
    </font>
    <font>
      <b/>
      <sz val="11"/>
      <color rgb="FF000000"/>
      <name val="Aptos Narrow"/>
      <family val="2"/>
    </font>
    <font>
      <sz val="11"/>
      <color rgb="FFFF0000"/>
      <name val="Aptos Narrow"/>
      <family val="2"/>
    </font>
    <font>
      <b/>
      <sz val="11"/>
      <color rgb="FFFF0000"/>
      <name val="Aptos Narrow"/>
      <family val="2"/>
    </font>
    <font>
      <b/>
      <sz val="11"/>
      <color theme="8"/>
      <name val="Aptos Narrow"/>
      <family val="2"/>
    </font>
    <font>
      <b/>
      <sz val="11"/>
      <color theme="1"/>
      <name val="Aptos Narrow"/>
      <family val="2"/>
    </font>
    <font>
      <sz val="11"/>
      <name val="Arial"/>
      <family val="2"/>
    </font>
    <font>
      <i/>
      <sz val="11"/>
      <name val="Arial"/>
      <family val="2"/>
    </font>
  </fonts>
  <fills count="26">
    <fill>
      <patternFill patternType="none"/>
    </fill>
    <fill>
      <patternFill patternType="gray125"/>
    </fill>
    <fill>
      <patternFill patternType="solid">
        <fgColor rgb="FF004F71"/>
        <bgColor indexed="64"/>
      </patternFill>
    </fill>
    <fill>
      <patternFill patternType="solid">
        <fgColor rgb="FFCBD0D5"/>
        <bgColor indexed="64"/>
      </patternFill>
    </fill>
    <fill>
      <patternFill patternType="solid">
        <fgColor rgb="FFE7E9EB"/>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3" tint="0.499984740745262"/>
        <bgColor indexed="64"/>
      </patternFill>
    </fill>
    <fill>
      <patternFill patternType="solid">
        <fgColor theme="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theme="3" tint="0.89999084444715716"/>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rgb="FF00B050"/>
        <bgColor indexed="64"/>
      </patternFill>
    </fill>
    <fill>
      <patternFill patternType="solid">
        <fgColor theme="0"/>
        <bgColor indexed="64"/>
      </patternFill>
    </fill>
    <fill>
      <patternFill patternType="solid">
        <fgColor theme="8" tint="0.59999389629810485"/>
        <bgColor indexed="64"/>
      </patternFill>
    </fill>
    <fill>
      <patternFill patternType="solid">
        <fgColor rgb="FFFF0000"/>
        <bgColor indexed="64"/>
      </patternFill>
    </fill>
    <fill>
      <patternFill patternType="solid">
        <fgColor rgb="FF156082"/>
        <bgColor rgb="FF156082"/>
      </patternFill>
    </fill>
    <fill>
      <patternFill patternType="solid">
        <fgColor rgb="FFC0E6F5"/>
        <bgColor rgb="FFC0E6F5"/>
      </patternFill>
    </fill>
  </fills>
  <borders count="14">
    <border>
      <left/>
      <right/>
      <top/>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right style="thin">
        <color rgb="FF44B3E1"/>
      </right>
      <top style="thin">
        <color rgb="FF44B3E1"/>
      </top>
      <bottom style="thin">
        <color rgb="FF44B3E1"/>
      </bottom>
      <diagonal/>
    </border>
  </borders>
  <cellStyleXfs count="3">
    <xf numFmtId="0" fontId="0" fillId="0" borderId="0"/>
    <xf numFmtId="9" fontId="6" fillId="0" borderId="0" applyFont="0" applyFill="0" applyBorder="0" applyAlignment="0" applyProtection="0"/>
    <xf numFmtId="0" fontId="17" fillId="0" borderId="0" applyNumberFormat="0" applyFill="0" applyBorder="0" applyAlignment="0" applyProtection="0"/>
  </cellStyleXfs>
  <cellXfs count="138">
    <xf numFmtId="0" fontId="0" fillId="0" borderId="0" xfId="0"/>
    <xf numFmtId="0" fontId="1" fillId="0" borderId="0" xfId="0" applyFont="1" applyAlignment="1">
      <alignment vertical="top" wrapText="1"/>
    </xf>
    <xf numFmtId="0" fontId="3" fillId="2" borderId="1" xfId="0" applyFont="1" applyFill="1" applyBorder="1" applyAlignment="1">
      <alignment horizontal="left" vertical="center" wrapText="1" indent="1" readingOrder="1"/>
    </xf>
    <xf numFmtId="0" fontId="4" fillId="3" borderId="2" xfId="0" applyFont="1" applyFill="1" applyBorder="1" applyAlignment="1">
      <alignment horizontal="left" vertical="center" wrapText="1" indent="1" readingOrder="1"/>
    </xf>
    <xf numFmtId="0" fontId="4" fillId="4" borderId="3" xfId="0" applyFont="1" applyFill="1" applyBorder="1" applyAlignment="1">
      <alignment horizontal="left" vertical="center" wrapText="1" indent="1" readingOrder="1"/>
    </xf>
    <xf numFmtId="0" fontId="4" fillId="3" borderId="3" xfId="0" applyFont="1" applyFill="1" applyBorder="1" applyAlignment="1">
      <alignment horizontal="left" vertical="center" wrapText="1" indent="1" readingOrder="1"/>
    </xf>
    <xf numFmtId="0" fontId="1" fillId="0" borderId="0" xfId="0" applyFont="1" applyAlignment="1">
      <alignment vertical="top"/>
    </xf>
    <xf numFmtId="0" fontId="1" fillId="0" borderId="4" xfId="0" applyFont="1" applyBorder="1" applyAlignment="1">
      <alignment vertical="top"/>
    </xf>
    <xf numFmtId="0" fontId="1" fillId="0" borderId="4" xfId="0" applyFont="1" applyBorder="1" applyAlignment="1">
      <alignment vertical="top" wrapText="1"/>
    </xf>
    <xf numFmtId="0" fontId="1" fillId="0" borderId="0" xfId="0" applyFont="1" applyAlignment="1">
      <alignment horizontal="left" vertical="top"/>
    </xf>
    <xf numFmtId="0" fontId="1" fillId="0" borderId="4" xfId="0" applyFont="1" applyBorder="1" applyAlignment="1">
      <alignment horizontal="left" vertical="top"/>
    </xf>
    <xf numFmtId="0" fontId="1" fillId="0" borderId="0" xfId="0" applyFont="1"/>
    <xf numFmtId="0" fontId="5" fillId="0" borderId="0" xfId="0" applyFont="1" applyAlignment="1">
      <alignment horizontal="left" vertical="center" readingOrder="1"/>
    </xf>
    <xf numFmtId="0" fontId="2" fillId="0" borderId="0" xfId="0" applyFont="1"/>
    <xf numFmtId="0" fontId="1" fillId="0" borderId="4" xfId="0" applyFont="1" applyBorder="1" applyAlignment="1">
      <alignment horizontal="left" vertical="top" wrapText="1"/>
    </xf>
    <xf numFmtId="0" fontId="2" fillId="0" borderId="5" xfId="0" applyFont="1" applyBorder="1" applyAlignment="1">
      <alignment horizontal="left" vertical="top" wrapText="1"/>
    </xf>
    <xf numFmtId="0" fontId="2" fillId="0" borderId="4" xfId="0" applyFont="1" applyBorder="1" applyAlignment="1">
      <alignment vertical="top" wrapText="1"/>
    </xf>
    <xf numFmtId="0" fontId="7" fillId="0" borderId="4" xfId="0" applyFont="1" applyBorder="1" applyAlignment="1">
      <alignment horizontal="left" vertical="top" wrapText="1"/>
    </xf>
    <xf numFmtId="0" fontId="6" fillId="0" borderId="0" xfId="0" quotePrefix="1" applyFont="1" applyAlignment="1">
      <alignment horizontal="left" vertical="top"/>
    </xf>
    <xf numFmtId="0" fontId="2" fillId="5" borderId="4" xfId="0" applyFont="1" applyFill="1" applyBorder="1" applyAlignment="1">
      <alignment horizontal="left" vertical="center" wrapText="1"/>
    </xf>
    <xf numFmtId="0" fontId="2" fillId="10" borderId="5" xfId="0" applyFont="1" applyFill="1" applyBorder="1" applyAlignment="1">
      <alignment horizontal="left" vertical="center" wrapText="1"/>
    </xf>
    <xf numFmtId="0" fontId="2" fillId="10" borderId="4" xfId="0" applyFont="1" applyFill="1" applyBorder="1" applyAlignment="1">
      <alignment horizontal="left" vertical="center" wrapText="1"/>
    </xf>
    <xf numFmtId="0" fontId="2" fillId="13" borderId="8" xfId="0" applyFont="1" applyFill="1" applyBorder="1" applyAlignment="1">
      <alignment horizontal="left" vertical="center" wrapText="1"/>
    </xf>
    <xf numFmtId="0" fontId="2" fillId="11" borderId="8" xfId="0" applyFont="1" applyFill="1" applyBorder="1" applyAlignment="1">
      <alignment horizontal="left" vertical="center" wrapText="1"/>
    </xf>
    <xf numFmtId="0" fontId="2" fillId="15" borderId="4" xfId="0" applyFont="1" applyFill="1" applyBorder="1" applyAlignment="1">
      <alignment horizontal="left" vertical="center" wrapText="1"/>
    </xf>
    <xf numFmtId="0" fontId="2" fillId="0" borderId="0" xfId="0" applyFont="1" applyAlignment="1">
      <alignment horizontal="left" vertical="center" wrapText="1"/>
    </xf>
    <xf numFmtId="0" fontId="1" fillId="17" borderId="0" xfId="0" applyFont="1" applyFill="1" applyAlignment="1">
      <alignment vertical="top"/>
    </xf>
    <xf numFmtId="0" fontId="1" fillId="18" borderId="4" xfId="0" applyFont="1" applyFill="1" applyBorder="1" applyAlignment="1">
      <alignment horizontal="left" vertical="top"/>
    </xf>
    <xf numFmtId="0" fontId="2" fillId="19" borderId="4" xfId="0" applyFont="1" applyFill="1" applyBorder="1" applyAlignment="1">
      <alignment horizontal="left" vertical="center" wrapText="1"/>
    </xf>
    <xf numFmtId="0" fontId="2" fillId="10" borderId="4" xfId="0" applyFont="1" applyFill="1" applyBorder="1" applyAlignment="1">
      <alignment horizontal="left" vertical="center"/>
    </xf>
    <xf numFmtId="0" fontId="2" fillId="16" borderId="4" xfId="0" applyFont="1" applyFill="1" applyBorder="1" applyAlignment="1">
      <alignment horizontal="left" vertical="center" wrapText="1"/>
    </xf>
    <xf numFmtId="0" fontId="2" fillId="20" borderId="8" xfId="0" applyFont="1" applyFill="1" applyBorder="1" applyAlignment="1">
      <alignment horizontal="left" vertical="center" wrapText="1"/>
    </xf>
    <xf numFmtId="0" fontId="2" fillId="17" borderId="8" xfId="0" applyFont="1" applyFill="1" applyBorder="1" applyAlignment="1">
      <alignment horizontal="left" vertical="center" wrapText="1"/>
    </xf>
    <xf numFmtId="0" fontId="5" fillId="0" borderId="0" xfId="0" applyFont="1" applyAlignment="1">
      <alignment vertical="top"/>
    </xf>
    <xf numFmtId="0" fontId="5" fillId="0" borderId="4" xfId="0" applyFont="1" applyBorder="1" applyAlignment="1">
      <alignment vertical="top"/>
    </xf>
    <xf numFmtId="0" fontId="1" fillId="0" borderId="7" xfId="0" applyFont="1" applyBorder="1" applyAlignment="1">
      <alignment horizontal="left" vertical="top" wrapText="1"/>
    </xf>
    <xf numFmtId="0" fontId="1" fillId="0" borderId="5" xfId="0" applyFont="1" applyBorder="1" applyAlignment="1">
      <alignment horizontal="left" vertical="top"/>
    </xf>
    <xf numFmtId="0" fontId="1" fillId="21" borderId="4" xfId="0" applyFont="1" applyFill="1" applyBorder="1" applyAlignment="1">
      <alignment horizontal="left" vertical="top"/>
    </xf>
    <xf numFmtId="0" fontId="1" fillId="21" borderId="4" xfId="0" applyFont="1" applyFill="1" applyBorder="1" applyAlignment="1">
      <alignment horizontal="left" vertical="top" wrapText="1"/>
    </xf>
    <xf numFmtId="0" fontId="1" fillId="19" borderId="4" xfId="0" applyFont="1" applyFill="1" applyBorder="1" applyAlignment="1">
      <alignment horizontal="left" vertical="top" wrapText="1"/>
    </xf>
    <xf numFmtId="0" fontId="0" fillId="0" borderId="4" xfId="0" applyBorder="1" applyAlignment="1">
      <alignment horizontal="left" vertical="top" wrapText="1"/>
    </xf>
    <xf numFmtId="0" fontId="1" fillId="0" borderId="4" xfId="0" applyFont="1" applyBorder="1"/>
    <xf numFmtId="0" fontId="11" fillId="0" borderId="0" xfId="0" applyFont="1" applyAlignment="1">
      <alignment horizontal="left" vertical="center"/>
    </xf>
    <xf numFmtId="0" fontId="0" fillId="0" borderId="0" xfId="0" applyAlignment="1">
      <alignment horizontal="left"/>
    </xf>
    <xf numFmtId="0" fontId="12" fillId="0" borderId="0" xfId="0" applyFont="1"/>
    <xf numFmtId="0" fontId="2" fillId="0" borderId="4" xfId="0" applyFont="1" applyBorder="1" applyAlignment="1">
      <alignment horizontal="left" vertical="top" wrapText="1"/>
    </xf>
    <xf numFmtId="0" fontId="14" fillId="0" borderId="0" xfId="0" applyFont="1" applyAlignment="1">
      <alignment horizontal="left" vertical="center"/>
    </xf>
    <xf numFmtId="0" fontId="0" fillId="0" borderId="0" xfId="0" applyAlignment="1">
      <alignment horizontal="center"/>
    </xf>
    <xf numFmtId="0" fontId="7" fillId="22" borderId="0" xfId="0" applyFont="1" applyFill="1" applyAlignment="1">
      <alignment horizontal="left"/>
    </xf>
    <xf numFmtId="0" fontId="7" fillId="22" borderId="0" xfId="0" applyFont="1" applyFill="1"/>
    <xf numFmtId="0" fontId="16" fillId="22" borderId="0" xfId="0" applyFont="1" applyFill="1" applyAlignment="1">
      <alignment horizontal="left" vertical="center"/>
    </xf>
    <xf numFmtId="0" fontId="0" fillId="22" borderId="0" xfId="0" applyFill="1"/>
    <xf numFmtId="0" fontId="0" fillId="0" borderId="0" xfId="0" applyAlignment="1">
      <alignment vertical="center"/>
    </xf>
    <xf numFmtId="0" fontId="17" fillId="0" borderId="0" xfId="2"/>
    <xf numFmtId="0" fontId="10" fillId="0" borderId="0" xfId="0" applyFont="1" applyAlignment="1">
      <alignment horizontal="left" vertical="center" wrapText="1" readingOrder="1"/>
    </xf>
    <xf numFmtId="9" fontId="0" fillId="0" borderId="0" xfId="1" applyFont="1"/>
    <xf numFmtId="0" fontId="11" fillId="0" borderId="0" xfId="0" applyFont="1"/>
    <xf numFmtId="0" fontId="0" fillId="0" borderId="0" xfId="0" applyAlignment="1">
      <alignment vertical="center" wrapText="1"/>
    </xf>
    <xf numFmtId="0" fontId="11" fillId="0" borderId="0" xfId="0" applyFont="1" applyAlignment="1">
      <alignment vertical="center"/>
    </xf>
    <xf numFmtId="0" fontId="10" fillId="0" borderId="0" xfId="0" applyFont="1" applyAlignment="1">
      <alignment horizontal="left" vertical="center" readingOrder="1"/>
    </xf>
    <xf numFmtId="0" fontId="0" fillId="17" borderId="0" xfId="0" applyFill="1" applyAlignment="1">
      <alignment vertical="center" wrapText="1"/>
    </xf>
    <xf numFmtId="0" fontId="13" fillId="0" borderId="0" xfId="0" applyFont="1" applyAlignment="1">
      <alignment horizontal="left" vertical="center" readingOrder="1"/>
    </xf>
    <xf numFmtId="0" fontId="12" fillId="0" borderId="0" xfId="0" applyFont="1" applyAlignment="1">
      <alignment horizontal="left"/>
    </xf>
    <xf numFmtId="0" fontId="11" fillId="0" borderId="0" xfId="0" applyFont="1" applyAlignment="1">
      <alignment horizontal="left" vertical="center" wrapText="1"/>
    </xf>
    <xf numFmtId="0" fontId="7" fillId="0" borderId="0" xfId="0" applyFont="1"/>
    <xf numFmtId="0" fontId="0" fillId="0" borderId="0" xfId="0" applyAlignment="1">
      <alignment horizontal="right"/>
    </xf>
    <xf numFmtId="0" fontId="11" fillId="0" borderId="0" xfId="0" applyFont="1" applyAlignment="1">
      <alignment horizontal="right"/>
    </xf>
    <xf numFmtId="0" fontId="2" fillId="16" borderId="8" xfId="0" applyFont="1" applyFill="1" applyBorder="1" applyAlignment="1">
      <alignment horizontal="left" vertical="center" wrapText="1"/>
    </xf>
    <xf numFmtId="0" fontId="1" fillId="17" borderId="0" xfId="0" applyFont="1" applyFill="1" applyAlignment="1">
      <alignment horizontal="left" vertical="top" wrapText="1"/>
    </xf>
    <xf numFmtId="0" fontId="2" fillId="6" borderId="7" xfId="0" applyFont="1" applyFill="1" applyBorder="1" applyAlignment="1">
      <alignment horizontal="left" vertical="top" wrapText="1"/>
    </xf>
    <xf numFmtId="0" fontId="1" fillId="0" borderId="0" xfId="0" applyFont="1" applyAlignment="1">
      <alignment horizontal="left" vertical="top" wrapText="1"/>
    </xf>
    <xf numFmtId="0" fontId="10" fillId="0" borderId="4" xfId="0" applyFont="1" applyBorder="1" applyAlignment="1">
      <alignment vertical="top" wrapText="1"/>
    </xf>
    <xf numFmtId="0" fontId="8" fillId="17" borderId="0" xfId="0" applyFont="1" applyFill="1" applyAlignment="1">
      <alignment horizontal="left" vertical="top"/>
    </xf>
    <xf numFmtId="0" fontId="2" fillId="17" borderId="0" xfId="0" applyFont="1" applyFill="1" applyAlignment="1">
      <alignment horizontal="left" vertical="top" wrapText="1"/>
    </xf>
    <xf numFmtId="0" fontId="9" fillId="17" borderId="0" xfId="0" applyFont="1" applyFill="1" applyAlignment="1">
      <alignment horizontal="left" vertical="top"/>
    </xf>
    <xf numFmtId="0" fontId="1" fillId="17" borderId="0" xfId="0" applyFont="1" applyFill="1" applyAlignment="1">
      <alignment horizontal="left" vertical="top"/>
    </xf>
    <xf numFmtId="0" fontId="2" fillId="8" borderId="7" xfId="0" applyFont="1" applyFill="1" applyBorder="1" applyAlignment="1">
      <alignment horizontal="left" vertical="top" wrapText="1"/>
    </xf>
    <xf numFmtId="0" fontId="5" fillId="0" borderId="0" xfId="0" applyFont="1" applyAlignment="1">
      <alignment horizontal="left" vertical="top"/>
    </xf>
    <xf numFmtId="0" fontId="5" fillId="0" borderId="4" xfId="0" applyFont="1" applyBorder="1" applyAlignment="1">
      <alignment horizontal="left" vertical="top"/>
    </xf>
    <xf numFmtId="0" fontId="2" fillId="0" borderId="0" xfId="0" applyFont="1" applyAlignment="1">
      <alignment horizontal="left" vertical="top" wrapText="1"/>
    </xf>
    <xf numFmtId="0" fontId="10" fillId="0" borderId="4" xfId="0" applyFont="1" applyBorder="1" applyAlignment="1">
      <alignment horizontal="left" vertical="top" wrapText="1"/>
    </xf>
    <xf numFmtId="0" fontId="1" fillId="0" borderId="4" xfId="0" applyFont="1" applyBorder="1" applyAlignment="1">
      <alignment horizontal="left"/>
    </xf>
    <xf numFmtId="0" fontId="0" fillId="0" borderId="4" xfId="0" applyBorder="1" applyAlignment="1">
      <alignment vertical="top" wrapText="1"/>
    </xf>
    <xf numFmtId="0" fontId="7" fillId="0" borderId="5" xfId="0" applyFont="1" applyBorder="1" applyAlignment="1">
      <alignment horizontal="left" vertical="top" wrapText="1"/>
    </xf>
    <xf numFmtId="0" fontId="2" fillId="21" borderId="4" xfId="0" applyFont="1" applyFill="1" applyBorder="1" applyAlignment="1">
      <alignment horizontal="left" vertical="top" wrapText="1"/>
    </xf>
    <xf numFmtId="0" fontId="2" fillId="0" borderId="5" xfId="0" applyFont="1" applyBorder="1" applyAlignment="1">
      <alignment vertical="top" wrapText="1"/>
    </xf>
    <xf numFmtId="0" fontId="2" fillId="0" borderId="0" xfId="0" applyFont="1" applyAlignment="1">
      <alignment vertical="top" wrapText="1"/>
    </xf>
    <xf numFmtId="0" fontId="0" fillId="0" borderId="4" xfId="0" applyBorder="1" applyAlignment="1">
      <alignment wrapText="1"/>
    </xf>
    <xf numFmtId="0" fontId="1" fillId="0" borderId="10" xfId="0" applyFont="1" applyBorder="1" applyAlignment="1">
      <alignment horizontal="left" vertical="top" wrapText="1"/>
    </xf>
    <xf numFmtId="0" fontId="1" fillId="19" borderId="0" xfId="0" applyFont="1" applyFill="1" applyAlignment="1">
      <alignment horizontal="left" vertical="top" wrapText="1"/>
    </xf>
    <xf numFmtId="0" fontId="1" fillId="0" borderId="7" xfId="0" applyFont="1" applyBorder="1" applyAlignment="1">
      <alignment vertical="top" wrapText="1"/>
    </xf>
    <xf numFmtId="0" fontId="5" fillId="0" borderId="10" xfId="0" applyFont="1" applyBorder="1" applyAlignment="1">
      <alignment horizontal="left" vertical="top"/>
    </xf>
    <xf numFmtId="0" fontId="1" fillId="0" borderId="0" xfId="0" applyFont="1" applyAlignment="1">
      <alignment horizontal="center" vertical="top"/>
    </xf>
    <xf numFmtId="0" fontId="2" fillId="0" borderId="0" xfId="0" applyFont="1" applyAlignment="1">
      <alignment horizontal="center" vertical="center" wrapText="1"/>
    </xf>
    <xf numFmtId="0" fontId="1" fillId="23" borderId="4" xfId="0" applyFont="1" applyFill="1" applyBorder="1" applyAlignment="1">
      <alignment horizontal="left" vertical="top"/>
    </xf>
    <xf numFmtId="0" fontId="2" fillId="23" borderId="4" xfId="0" applyFont="1" applyFill="1" applyBorder="1" applyAlignment="1">
      <alignment vertical="top" wrapText="1"/>
    </xf>
    <xf numFmtId="0" fontId="2" fillId="23" borderId="5" xfId="0" applyFont="1" applyFill="1" applyBorder="1" applyAlignment="1">
      <alignment horizontal="left" vertical="top" wrapText="1"/>
    </xf>
    <xf numFmtId="0" fontId="2" fillId="23" borderId="4" xfId="0" applyFont="1" applyFill="1" applyBorder="1" applyAlignment="1">
      <alignment horizontal="left" vertical="top" wrapText="1"/>
    </xf>
    <xf numFmtId="0" fontId="18" fillId="24" borderId="11" xfId="0" applyFont="1" applyFill="1" applyBorder="1" applyAlignment="1">
      <alignment vertical="top" wrapText="1"/>
    </xf>
    <xf numFmtId="0" fontId="18" fillId="24" borderId="12" xfId="0" applyFont="1" applyFill="1" applyBorder="1" applyAlignment="1">
      <alignment vertical="top"/>
    </xf>
    <xf numFmtId="0" fontId="18" fillId="24" borderId="13" xfId="0" applyFont="1" applyFill="1" applyBorder="1" applyAlignment="1">
      <alignment vertical="top"/>
    </xf>
    <xf numFmtId="0" fontId="0" fillId="0" borderId="0" xfId="0" applyAlignment="1">
      <alignment vertical="top"/>
    </xf>
    <xf numFmtId="0" fontId="19" fillId="25" borderId="11" xfId="0" applyFont="1" applyFill="1" applyBorder="1" applyAlignment="1">
      <alignment vertical="top" wrapText="1"/>
    </xf>
    <xf numFmtId="0" fontId="19" fillId="25" borderId="12" xfId="0" applyFont="1" applyFill="1" applyBorder="1" applyAlignment="1">
      <alignment vertical="top"/>
    </xf>
    <xf numFmtId="0" fontId="19" fillId="25" borderId="12" xfId="0" applyFont="1" applyFill="1" applyBorder="1" applyAlignment="1">
      <alignment vertical="top" wrapText="1"/>
    </xf>
    <xf numFmtId="0" fontId="19" fillId="25" borderId="13" xfId="0" applyFont="1" applyFill="1" applyBorder="1" applyAlignment="1">
      <alignment vertical="top"/>
    </xf>
    <xf numFmtId="0" fontId="19" fillId="0" borderId="11" xfId="0" applyFont="1" applyBorder="1" applyAlignment="1">
      <alignment vertical="top" wrapText="1"/>
    </xf>
    <xf numFmtId="0" fontId="19" fillId="0" borderId="12" xfId="0" applyFont="1" applyBorder="1" applyAlignment="1">
      <alignment vertical="top"/>
    </xf>
    <xf numFmtId="0" fontId="19" fillId="0" borderId="12" xfId="0" applyFont="1" applyBorder="1" applyAlignment="1">
      <alignment vertical="top" wrapText="1"/>
    </xf>
    <xf numFmtId="0" fontId="19" fillId="0" borderId="13" xfId="0" applyFont="1" applyBorder="1" applyAlignment="1">
      <alignment vertical="top"/>
    </xf>
    <xf numFmtId="0" fontId="17" fillId="0" borderId="12" xfId="2" applyFill="1" applyBorder="1" applyAlignment="1">
      <alignment vertical="top"/>
    </xf>
    <xf numFmtId="0" fontId="17" fillId="25" borderId="12" xfId="2" applyFill="1" applyBorder="1" applyAlignment="1">
      <alignment vertical="top"/>
    </xf>
    <xf numFmtId="0" fontId="20" fillId="25" borderId="12" xfId="0" applyFont="1" applyFill="1" applyBorder="1" applyAlignment="1">
      <alignment vertical="top"/>
    </xf>
    <xf numFmtId="0" fontId="20" fillId="0" borderId="12" xfId="0" applyFont="1" applyBorder="1" applyAlignment="1">
      <alignment vertical="top"/>
    </xf>
    <xf numFmtId="0" fontId="21" fillId="25" borderId="12" xfId="0" applyFont="1" applyFill="1" applyBorder="1" applyAlignment="1">
      <alignment vertical="top"/>
    </xf>
    <xf numFmtId="0" fontId="22" fillId="25" borderId="12" xfId="0" applyFont="1" applyFill="1" applyBorder="1" applyAlignment="1">
      <alignment vertical="top"/>
    </xf>
    <xf numFmtId="0" fontId="22" fillId="0" borderId="12" xfId="0" applyFont="1" applyBorder="1" applyAlignment="1">
      <alignment vertical="top"/>
    </xf>
    <xf numFmtId="0" fontId="23" fillId="0" borderId="12" xfId="0" applyFont="1" applyBorder="1" applyAlignment="1">
      <alignment vertical="top"/>
    </xf>
    <xf numFmtId="0" fontId="23" fillId="25" borderId="12" xfId="0" applyFont="1" applyFill="1" applyBorder="1" applyAlignment="1">
      <alignment vertical="top"/>
    </xf>
    <xf numFmtId="0" fontId="18" fillId="24" borderId="12" xfId="0" applyFont="1" applyFill="1" applyBorder="1" applyAlignment="1">
      <alignment vertical="top" wrapText="1"/>
    </xf>
    <xf numFmtId="0" fontId="0" fillId="0" borderId="0" xfId="0" applyAlignment="1">
      <alignment vertical="top" wrapText="1"/>
    </xf>
    <xf numFmtId="0" fontId="18" fillId="24" borderId="12" xfId="0" applyFont="1" applyFill="1" applyBorder="1" applyAlignment="1">
      <alignment horizontal="center" vertical="top"/>
    </xf>
    <xf numFmtId="0" fontId="0" fillId="0" borderId="0" xfId="0" applyAlignment="1">
      <alignment horizontal="center" vertical="top"/>
    </xf>
    <xf numFmtId="0" fontId="7" fillId="0" borderId="4" xfId="0" applyFont="1" applyBorder="1" applyAlignment="1">
      <alignment vertical="top"/>
    </xf>
    <xf numFmtId="0" fontId="7" fillId="23" borderId="5" xfId="0" applyFont="1" applyFill="1" applyBorder="1" applyAlignment="1">
      <alignment vertical="top"/>
    </xf>
    <xf numFmtId="0" fontId="24" fillId="25" borderId="12" xfId="0" applyFont="1" applyFill="1" applyBorder="1" applyAlignment="1">
      <alignment vertical="top"/>
    </xf>
    <xf numFmtId="0" fontId="17" fillId="0" borderId="12" xfId="2" applyBorder="1" applyAlignment="1">
      <alignment vertical="top"/>
    </xf>
    <xf numFmtId="0" fontId="0" fillId="17" borderId="0" xfId="0" applyFill="1" applyAlignment="1">
      <alignment horizontal="center" vertical="top"/>
    </xf>
    <xf numFmtId="0" fontId="0" fillId="0" borderId="0" xfId="0" pivotButton="1"/>
    <xf numFmtId="0" fontId="2" fillId="9" borderId="6" xfId="0" applyFont="1" applyFill="1" applyBorder="1" applyAlignment="1">
      <alignment horizontal="left" vertical="top"/>
    </xf>
    <xf numFmtId="0" fontId="2" fillId="7" borderId="6" xfId="0" applyFont="1" applyFill="1" applyBorder="1" applyAlignment="1">
      <alignment horizontal="left" vertical="top"/>
    </xf>
    <xf numFmtId="0" fontId="2" fillId="6" borderId="4" xfId="0" applyFont="1" applyFill="1" applyBorder="1" applyAlignment="1">
      <alignment horizontal="left" vertical="top"/>
    </xf>
    <xf numFmtId="0" fontId="2" fillId="12" borderId="7" xfId="0" applyFont="1" applyFill="1" applyBorder="1" applyAlignment="1">
      <alignment horizontal="left" vertical="top"/>
    </xf>
    <xf numFmtId="0" fontId="2" fillId="12" borderId="7" xfId="0" applyFont="1" applyFill="1" applyBorder="1" applyAlignment="1">
      <alignment horizontal="center" vertical="top"/>
    </xf>
    <xf numFmtId="0" fontId="1" fillId="14" borderId="9" xfId="0" applyFont="1" applyFill="1" applyBorder="1" applyAlignment="1">
      <alignment horizontal="left" vertical="top"/>
    </xf>
    <xf numFmtId="0" fontId="11" fillId="0" borderId="0" xfId="0" applyFont="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cellXfs>
  <cellStyles count="3">
    <cellStyle name="Hyperlink" xfId="2" builtinId="8"/>
    <cellStyle name="Normal" xfId="0" builtinId="0"/>
    <cellStyle name="Percent" xfId="1" builtinId="5"/>
  </cellStyles>
  <dxfs count="20">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ill>
        <patternFill>
          <bgColor theme="0" tint="-0.2499465926084170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rgb="FF92D050"/>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ocumenttasks/documenttask1.xml><?xml version="1.0" encoding="utf-8"?>
<Tasks xmlns="http://schemas.microsoft.com/office/tasks/2019/documenttasks">
  <Task id="{5CBFAB1F-3FA6-44D8-9DF6-7DE7971090A6}">
    <Anchor>
      <Comment id="{D35BBBF3-084B-427A-BA6F-46914E174592}"/>
    </Anchor>
    <History>
      <Event time="2025-03-11T19:40:32.85" id="{8DCAF63C-208E-8A4E-843C-2508C494FA74}">
        <Attribution userId="S::lalitha.gundlapalli@abbott.com::0e085f56-c6fb-4d16-9a08-809ac474a722" userName="Gundlapalli, Lalitha" userProvider="AD"/>
        <Anchor>
          <Comment id="{D35BBBF3-084B-427A-BA6F-46914E174592}"/>
        </Anchor>
        <Create/>
      </Event>
      <Event time="2025-03-11T19:40:32.85" id="{148D8D68-1DCA-634E-A1B7-FE6071BEA473}">
        <Attribution userId="S::lalitha.gundlapalli@abbott.com::0e085f56-c6fb-4d16-9a08-809ac474a722" userName="Gundlapalli, Lalitha" userProvider="AD"/>
        <Anchor>
          <Comment id="{D35BBBF3-084B-427A-BA6F-46914E174592}"/>
        </Anchor>
        <Assign userId="S::robyn.atkinson@abbott.com::c7d39702-6157-4e50-95bb-35d199606843" userName="Atkinson, Robyn E" userProvider="AD"/>
      </Event>
      <Event time="2025-03-11T19:40:32.85" id="{6BB3A97C-0D7C-C84C-8278-ACA5B54FDEBE}">
        <Attribution userId="S::lalitha.gundlapalli@abbott.com::0e085f56-c6fb-4d16-9a08-809ac474a722" userName="Gundlapalli, Lalitha" userProvider="AD"/>
        <Anchor>
          <Comment id="{D35BBBF3-084B-427A-BA6F-46914E174592}"/>
        </Anchor>
        <SetTitle title="@Atkinson, Robyn E - Cyber and risk Review status"/>
      </Event>
    </History>
  </Task>
  <Task id="{9DABF2F6-4A9D-4C2B-84A2-7C7A00F4F729}">
    <Anchor>
      <Comment id="{15541674-D7BA-4AE7-9265-F5CD0C72DEE5}"/>
    </Anchor>
    <History>
      <Event time="2025-03-24T19:06:19.50" id="{8A6D520F-E004-AD4D-8C3F-4A838063EFDC}">
        <Attribution userId="S::lalitha.gundlapalli@abbott.com::0e085f56-c6fb-4d16-9a08-809ac474a722" userName="Gundlapalli, Lalitha" userProvider="AD"/>
        <Anchor>
          <Comment id="{15541674-D7BA-4AE7-9265-F5CD0C72DEE5}"/>
        </Anchor>
        <Create/>
      </Event>
      <Event time="2025-03-24T19:06:19.50" id="{36D58784-E85F-3740-8497-2019517863C4}">
        <Attribution userId="S::lalitha.gundlapalli@abbott.com::0e085f56-c6fb-4d16-9a08-809ac474a722" userName="Gundlapalli, Lalitha" userProvider="AD"/>
        <Anchor>
          <Comment id="{15541674-D7BA-4AE7-9265-F5CD0C72DEE5}"/>
        </Anchor>
        <Assign userId="S::karthik.kachana@abbott.com::76ff197c-6687-4ba4-9b0a-d19f709b1f59" userName="Kachana, Karthik R" userProvider="AD"/>
      </Event>
      <Event time="2025-03-24T19:06:19.50" id="{9CFFA650-2C33-9E47-84A7-C4135248E1F3}">
        <Attribution userId="S::lalitha.gundlapalli@abbott.com::0e085f56-c6fb-4d16-9a08-809ac474a722" userName="Gundlapalli, Lalitha" userProvider="AD"/>
        <Anchor>
          <Comment id="{15541674-D7BA-4AE7-9265-F5CD0C72DEE5}"/>
        </Anchor>
        <SetTitle title="@Kachana, Karthik R - can we consolidate this into 3 - Salesforce Einstein, Salesforce Agents, Salesforce Marketing Cloud"/>
      </Event>
      <Event time="2025-04-09T14:11:09.41" id="{77B0E93E-89EF-4FFE-BFEE-E800CCE488B5}">
        <Attribution userId="S::karthik.kachana@abbott.com::76ff197c-6687-4ba4-9b0a-d19f709b1f59" userName="Kachana, Karthik R" userProvider="AD"/>
        <Progress percentComplete="100"/>
      </Event>
    </History>
  </Task>
</Tasks>
</file>

<file path=xl/persons/person.xml><?xml version="1.0" encoding="utf-8"?>
<personList xmlns="http://schemas.microsoft.com/office/spreadsheetml/2018/threadedcomments" xmlns:x="http://schemas.openxmlformats.org/spreadsheetml/2006/main">
  <person displayName="Atkinson, Robyn E" id="{AB34D85B-7D67-4E29-9E74-C051BF9B9C5B}" userId="robyn.atkinson@abbott.com" providerId="PeoplePicker"/>
  <person displayName="Kachana, Karthik R" id="{82BF7CFC-7785-420F-AB52-304AA234F2E7}" userId="karthik.kachana@abbott.com" providerId="PeoplePicker"/>
  <person displayName="Gundlapalli, Lalitha" id="{DEE7D889-2426-4A33-86E7-D314613E483C}" userId="lalitha.gundlapalli@abbott.com" providerId="PeoplePicker"/>
  <person displayName="Luthra, Nitesh" id="{3FFE6F6E-D162-46D3-AFD2-C1E1CEDA5050}" userId="S::nitesh.luthra@abbott.com::e9743704-87a6-48ef-8550-b2aae39e11d9" providerId="AD"/>
  <person displayName="Kachana, Karthik R" id="{F2DE0CF3-590A-4DB5-8244-219647E3C26D}" userId="S::karthik.kachana@abbott.com::76ff197c-6687-4ba4-9b0a-d19f709b1f59" providerId="AD"/>
  <person displayName="Gundlapalli, Lalitha" id="{6FDF1415-B22A-4EB3-AFCF-A5448C43407D}" userId="S::lalitha.gundlapalli@abbott.com::0e085f56-c6fb-4d16-9a08-809ac474a722"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41.346743402777" createdVersion="8" refreshedVersion="8" minRefreshableVersion="3" recordCount="56" xr:uid="{5495AFB1-DB76-4D26-A55C-D8899444C2BB}">
  <cacheSource type="worksheet">
    <worksheetSource ref="B1:D57" sheet="Official WebSite Catalog Refere"/>
  </cacheSource>
  <cacheFields count="3">
    <cacheField name="Remove" numFmtId="0">
      <sharedItems containsBlank="1" count="5">
        <s v="Remove"/>
        <m/>
        <s v="Removed"/>
        <s v="Rremoved"/>
        <s v="AI Not yet approved" u="1"/>
      </sharedItems>
    </cacheField>
    <cacheField name="Title" numFmtId="0">
      <sharedItems/>
    </cacheField>
    <cacheField name="GenAI Capability" numFmtId="0">
      <sharedItems containsBlank="1" count="17">
        <m/>
        <s v="Translations &amp; Virtual Assistants"/>
        <s v="Creative Content  and Image Generation"/>
        <s v="Creative Content Generation"/>
        <s v="Enterprise Productivity Tool"/>
        <s v="Search &amp; Insight Generation"/>
        <s v="Enterprise Productivity Application "/>
        <s v="Software Developer Experience"/>
        <s v="Process Automation &amp; Reporting"/>
        <s v="Code Creation"/>
        <s v="Learning Authoring"/>
        <s v="Learning Authoring " u="1"/>
        <s v="Analytics and Reporting" u="1"/>
        <s v="Process Automation" u="1"/>
        <s v="Reporting &amp; Summarization" u="1"/>
        <s v="Translation" u="1"/>
        <s v="Virtual Assistants"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x v="0"/>
    <s v="Abilitie "/>
    <x v="0"/>
  </r>
  <r>
    <x v="1"/>
    <s v="Acolad"/>
    <x v="1"/>
  </r>
  <r>
    <x v="1"/>
    <s v="Adobe Express"/>
    <x v="2"/>
  </r>
  <r>
    <x v="1"/>
    <s v="Adobe Firefly"/>
    <x v="2"/>
  </r>
  <r>
    <x v="2"/>
    <s v="Adobe Gen Studio"/>
    <x v="3"/>
  </r>
  <r>
    <x v="1"/>
    <s v="Allego"/>
    <x v="1"/>
  </r>
  <r>
    <x v="2"/>
    <s v="Amazon - AWS"/>
    <x v="4"/>
  </r>
  <r>
    <x v="2"/>
    <s v="Amazon - Bedrock"/>
    <x v="4"/>
  </r>
  <r>
    <x v="0"/>
    <s v="Anima"/>
    <x v="0"/>
  </r>
  <r>
    <x v="0"/>
    <s v="Anthropic"/>
    <x v="4"/>
  </r>
  <r>
    <x v="0"/>
    <s v="APLM"/>
    <x v="5"/>
  </r>
  <r>
    <x v="2"/>
    <s v="Atlassian AI"/>
    <x v="4"/>
  </r>
  <r>
    <x v="0"/>
    <s v="AutoGen"/>
    <x v="5"/>
  </r>
  <r>
    <x v="2"/>
    <s v="Businessolver"/>
    <x v="1"/>
  </r>
  <r>
    <x v="2"/>
    <s v="Cascade AI"/>
    <x v="5"/>
  </r>
  <r>
    <x v="2"/>
    <s v="Copilot Studio"/>
    <x v="4"/>
  </r>
  <r>
    <x v="1"/>
    <s v="Copilot Web"/>
    <x v="6"/>
  </r>
  <r>
    <x v="0"/>
    <s v="Coveo"/>
    <x v="0"/>
  </r>
  <r>
    <x v="1"/>
    <s v="Databricks Genie and AI Assistants"/>
    <x v="7"/>
  </r>
  <r>
    <x v="1"/>
    <s v="Deep Sights"/>
    <x v="8"/>
  </r>
  <r>
    <x v="1"/>
    <s v="Dynamic Media"/>
    <x v="2"/>
  </r>
  <r>
    <x v="0"/>
    <s v="EcoVadis"/>
    <x v="8"/>
  </r>
  <r>
    <x v="2"/>
    <s v="Embase"/>
    <x v="5"/>
  </r>
  <r>
    <x v="0"/>
    <s v="Figma"/>
    <x v="3"/>
  </r>
  <r>
    <x v="1"/>
    <s v="Five9"/>
    <x v="8"/>
  </r>
  <r>
    <x v="2"/>
    <s v="Gallup AI"/>
    <x v="1"/>
  </r>
  <r>
    <x v="1"/>
    <s v="GitHub Copilot"/>
    <x v="7"/>
  </r>
  <r>
    <x v="2"/>
    <s v="Google Gemini"/>
    <x v="4"/>
  </r>
  <r>
    <x v="0"/>
    <s v="Huma.ai"/>
    <x v="5"/>
  </r>
  <r>
    <x v="0"/>
    <s v="Human Chain"/>
    <x v="8"/>
  </r>
  <r>
    <x v="0"/>
    <s v="Indegene"/>
    <x v="5"/>
  </r>
  <r>
    <x v="0"/>
    <s v="Infodesk"/>
    <x v="5"/>
  </r>
  <r>
    <x v="1"/>
    <s v="Langchain "/>
    <x v="7"/>
  </r>
  <r>
    <x v="1"/>
    <s v="Langfuse"/>
    <x v="7"/>
  </r>
  <r>
    <x v="1"/>
    <s v="Loopio"/>
    <x v="8"/>
  </r>
  <r>
    <x v="2"/>
    <s v="M365 Copilot"/>
    <x v="4"/>
  </r>
  <r>
    <x v="3"/>
    <s v="MatLab Library"/>
    <x v="9"/>
  </r>
  <r>
    <x v="1"/>
    <s v="Mia"/>
    <x v="6"/>
  </r>
  <r>
    <x v="2"/>
    <s v="Microsoft Azure"/>
    <x v="4"/>
  </r>
  <r>
    <x v="1"/>
    <s v="Mistral"/>
    <x v="7"/>
  </r>
  <r>
    <x v="0"/>
    <s v="Neuron AI"/>
    <x v="8"/>
  </r>
  <r>
    <x v="2"/>
    <s v="Neuron7"/>
    <x v="8"/>
  </r>
  <r>
    <x v="1"/>
    <s v="New Relic"/>
    <x v="7"/>
  </r>
  <r>
    <x v="1"/>
    <s v="OpenAI"/>
    <x v="7"/>
  </r>
  <r>
    <x v="2"/>
    <s v="Percipio"/>
    <x v="10"/>
  </r>
  <r>
    <x v="2"/>
    <s v="Phenom X+"/>
    <x v="5"/>
  </r>
  <r>
    <x v="2"/>
    <s v="Power BI Copilot"/>
    <x v="4"/>
  </r>
  <r>
    <x v="2"/>
    <s v="Promptfoo"/>
    <x v="9"/>
  </r>
  <r>
    <x v="2"/>
    <s v="Rossylyn"/>
    <x v="8"/>
  </r>
  <r>
    <x v="1"/>
    <s v="Salesforce Agentforce"/>
    <x v="7"/>
  </r>
  <r>
    <x v="2"/>
    <s v="Salesforce AI"/>
    <x v="1"/>
  </r>
  <r>
    <x v="1"/>
    <s v="Synthesia"/>
    <x v="1"/>
  </r>
  <r>
    <x v="2"/>
    <s v="Via Renaissance"/>
    <x v="1"/>
  </r>
  <r>
    <x v="1"/>
    <s v="Virtual Speech"/>
    <x v="1"/>
  </r>
  <r>
    <x v="1"/>
    <s v="Writer AI"/>
    <x v="2"/>
  </r>
  <r>
    <x v="2"/>
    <s v="Zendesk"/>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DBCB72-3EF1-4B6C-8A01-54FD00291FF5}" name="PivotTable1" cacheId="15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C9" firstHeaderRow="1" firstDataRow="2" firstDataCol="1"/>
  <pivotFields count="3">
    <pivotField axis="axisCol" compact="0" outline="0" showAll="0" sortType="descending">
      <items count="6">
        <item h="1" m="1" x="4"/>
        <item h="1" x="0"/>
        <item h="1" x="2"/>
        <item h="1" x="3"/>
        <item x="1"/>
        <item t="default"/>
      </items>
      <autoSortScope>
        <pivotArea dataOnly="0" outline="0" fieldPosition="0">
          <references count="1">
            <reference field="4294967294" count="1" selected="0">
              <x v="0"/>
            </reference>
          </references>
        </pivotArea>
      </autoSortScope>
    </pivotField>
    <pivotField compact="0" outline="0" showAll="0"/>
    <pivotField axis="axisRow" dataField="1" compact="0" outline="0" showAll="0" sortType="descending">
      <items count="18">
        <item m="1" x="12"/>
        <item x="9"/>
        <item x="2"/>
        <item x="3"/>
        <item x="6"/>
        <item x="4"/>
        <item x="10"/>
        <item m="1" x="11"/>
        <item m="1" x="13"/>
        <item m="1" x="14"/>
        <item x="5"/>
        <item x="7"/>
        <item m="1" x="15"/>
        <item m="1" x="16"/>
        <item x="0"/>
        <item x="1"/>
        <item x="8"/>
        <item t="default"/>
      </items>
      <autoSortScope>
        <pivotArea dataOnly="0" outline="0" fieldPosition="0">
          <references count="1">
            <reference field="4294967294" count="1" selected="0">
              <x v="0"/>
            </reference>
          </references>
        </pivotArea>
      </autoSortScope>
    </pivotField>
  </pivotFields>
  <rowFields count="1">
    <field x="2"/>
  </rowFields>
  <rowItems count="6">
    <i>
      <x v="11"/>
    </i>
    <i>
      <x v="15"/>
    </i>
    <i>
      <x v="2"/>
    </i>
    <i>
      <x v="16"/>
    </i>
    <i>
      <x v="4"/>
    </i>
    <i t="grand">
      <x/>
    </i>
  </rowItems>
  <colFields count="1">
    <field x="0"/>
  </colFields>
  <colItems count="2">
    <i>
      <x v="4"/>
    </i>
    <i t="grand">
      <x/>
    </i>
  </colItems>
  <dataFields count="1">
    <dataField name="Count of GenAI Capability"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P3" dT="2025-03-11T19:40:32.92" personId="{6FDF1415-B22A-4EB3-AFCF-A5448C43407D}" id="{D35BBBF3-084B-427A-BA6F-46914E174592}">
    <text>@Atkinson, Robyn E - Cyber and risk Review status</text>
    <mentions>
      <mention mentionpersonId="{AB34D85B-7D67-4E29-9E74-C051BF9B9C5B}" mentionId="{D7305593-16F2-4264-A272-78E96F746C8C}" startIndex="0" length="18"/>
    </mentions>
  </threadedComment>
  <threadedComment ref="M44" dT="2025-05-05T15:03:54.30" personId="{3FFE6F6E-D162-46D3-AFD2-C1E1CEDA5050}" id="{F85EF5D2-D7B9-4DEE-8024-D7194946D41D}">
    <text>Not needed by team now as off 5/5</text>
  </threadedComment>
  <threadedComment ref="C78" dT="2025-03-24T19:06:19.53" personId="{6FDF1415-B22A-4EB3-AFCF-A5448C43407D}" id="{15541674-D7BA-4AE7-9265-F5CD0C72DEE5}" done="1">
    <text>@Kachana, Karthik R - can we consolidate this into 3 - Salesforce Einstein, Salesforce Agents, Salesforce Marketing Cloud</text>
    <mentions>
      <mention mentionpersonId="{82BF7CFC-7785-420F-AB52-304AA234F2E7}" mentionId="{2AC2AED8-BE98-4D5A-9088-B3DB10FDE13D}" startIndex="0" length="19"/>
    </mentions>
  </threadedComment>
  <threadedComment ref="C78" dT="2025-04-09T14:10:48.40" personId="{F2DE0CF3-590A-4DB5-8244-219647E3C26D}" id="{8AD78866-B84B-4CEC-B8D6-A1802F4166AE}" parentId="{15541674-D7BA-4AE7-9265-F5CD0C72DEE5}">
    <text>@Gundlapalli, Lalitha I have combined it based on the different cloud offerings to ensure it resonates with Abbott's thoughts about salesforce offerings and capabilities.</text>
    <mentions>
      <mention mentionpersonId="{DEE7D889-2426-4A33-86E7-D314613E483C}" mentionId="{94F77E92-B794-4539-B5B4-0D88C15E444D}" startIndex="0" length="21"/>
    </mentions>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2.xml.rels><?xml version="1.0" encoding="UTF-8" standalone="yes"?>
<Relationships xmlns="http://schemas.openxmlformats.org/package/2006/relationships"><Relationship Id="rId13" Type="http://schemas.openxmlformats.org/officeDocument/2006/relationships/hyperlink" Target="mailto:genai-coe@abbott.com" TargetMode="External"/><Relationship Id="rId18" Type="http://schemas.openxmlformats.org/officeDocument/2006/relationships/hyperlink" Target="mailto:genai-coe@abbott.com" TargetMode="External"/><Relationship Id="rId26" Type="http://schemas.openxmlformats.org/officeDocument/2006/relationships/hyperlink" Target="mailto:genai-coe@abbott.com" TargetMode="External"/><Relationship Id="rId39" Type="http://schemas.openxmlformats.org/officeDocument/2006/relationships/hyperlink" Target="mailto:genai-coe@abbott.com" TargetMode="External"/><Relationship Id="rId21" Type="http://schemas.openxmlformats.org/officeDocument/2006/relationships/hyperlink" Target="mailto:genai-coe@abbott.com" TargetMode="External"/><Relationship Id="rId34" Type="http://schemas.openxmlformats.org/officeDocument/2006/relationships/hyperlink" Target="mailto:genai-coe@abbott.com" TargetMode="External"/><Relationship Id="rId42" Type="http://schemas.openxmlformats.org/officeDocument/2006/relationships/hyperlink" Target="mailto:genai-coe@abbott.com" TargetMode="External"/><Relationship Id="rId47" Type="http://schemas.openxmlformats.org/officeDocument/2006/relationships/hyperlink" Target="mailto:genai-coe@abbott.com" TargetMode="External"/><Relationship Id="rId50" Type="http://schemas.openxmlformats.org/officeDocument/2006/relationships/hyperlink" Target="../../../../../Cybersecurity/SitePages/Synthesia.aspx" TargetMode="External"/><Relationship Id="rId55" Type="http://schemas.openxmlformats.org/officeDocument/2006/relationships/hyperlink" Target="../../../../../US-BTS-translation/SitePages/Home.aspx?startedResponseCatch=true&amp;isSPOFile=1&amp;xsdata=MDV8MDJ8fGEyY2U4ZTgzOWVjYzQ5Mjc0ZjNkMDhkZTk2NmQ5OWYxfDViMjY4ZDU3MmE2ZjRlMDRiMGRlNjkzODU4M2Q1ZWJjfDB8MHw2MzkxMTM1OTQ2MTE1MTkyOTN8VW5rbm93bnxWR1ZoYlhOVFpXTjFjbWwwZVZObGNuWnBZMlY4ZXlKRFFTSTZJbFJsWVcxelgwRlVVRk5sY25acFkyVmZVMUJQVEU5R0lpd2lWaUk2SWpBdU1DNHdNREF3SWl3aVVDSTZJbGRwYmpNeUlpd2lRVTRpT2lKUGRHaGxjaUlzSWxkVUlqb3hNWDA9fDF8TDJOb1lYUnpMekU1T2paaE9UVmtORFUxTFdRNU16RXRORE5qTnkxaFl6VmhMVEExTWpCaU9HTmpPRE01Tmw5a05UZGlNRFl4T1MwNVpXSTBMVFEzWVRNdE9HTXlOUzFtTVRNM056YzRNREEyWkdOQWRXNXhMbWRpYkM1emNHRmpaWE12YldWemMyRm5aWE12TVRjM05UYzJNalkyTURBM05RPT18MzFkYTU0ZTU3NDhjNDFhZGU5MjQwOGRlOTY2ZDk5ZjB8ZjBjYzEyYjBhZDY5NDEyNzgwNTI3MzlkZGRjNmQxZTg%3D&amp;sdata=WXNqb0tINjRhLzh1S0VQMHpxcXA3eFQrZzZrOTFJc0E4ZTZaTVN4Tk9Faz0%3D&amp;ovuser=5b268d57-2a6f-4e04-b0de-6938583d5ebc%2Cpaul.smith4%40abbott.com&amp;OR=Teams-HL&amp;CT=1775762803601&amp;clickparams=eyJBcHBOYW1lIjoiVGVhbXMtRGVza3RvcCIsIkFwcFZlcnNpb24iOiI0OS8yNjAzMTIyMzAyMCJ9" TargetMode="External"/><Relationship Id="rId7" Type="http://schemas.openxmlformats.org/officeDocument/2006/relationships/hyperlink" Target="mailto:genai-coe@abbott.com" TargetMode="External"/><Relationship Id="rId2" Type="http://schemas.openxmlformats.org/officeDocument/2006/relationships/hyperlink" Target="mailto:genai-coe@abbott.com" TargetMode="External"/><Relationship Id="rId16" Type="http://schemas.openxmlformats.org/officeDocument/2006/relationships/hyperlink" Target="mailto:genai-coe@abbott.com" TargetMode="External"/><Relationship Id="rId29" Type="http://schemas.openxmlformats.org/officeDocument/2006/relationships/hyperlink" Target="mailto:genai-coe@abbott.com" TargetMode="External"/><Relationship Id="rId11" Type="http://schemas.openxmlformats.org/officeDocument/2006/relationships/hyperlink" Target="mailto:genai-coe@abbott.com" TargetMode="External"/><Relationship Id="rId24" Type="http://schemas.openxmlformats.org/officeDocument/2006/relationships/hyperlink" Target="mailto:genai-coe@abbott.com" TargetMode="External"/><Relationship Id="rId32" Type="http://schemas.openxmlformats.org/officeDocument/2006/relationships/hyperlink" Target="mailto:genai-coe@abbott.com" TargetMode="External"/><Relationship Id="rId37" Type="http://schemas.openxmlformats.org/officeDocument/2006/relationships/hyperlink" Target="mailto:genai-coe@abbott.com" TargetMode="External"/><Relationship Id="rId40" Type="http://schemas.openxmlformats.org/officeDocument/2006/relationships/hyperlink" Target="mailto:genai-coe@abbott.com" TargetMode="External"/><Relationship Id="rId45" Type="http://schemas.openxmlformats.org/officeDocument/2006/relationships/hyperlink" Target="mailto:genai-coe@abbott.com" TargetMode="External"/><Relationship Id="rId53" Type="http://schemas.openxmlformats.org/officeDocument/2006/relationships/hyperlink" Target="mailto:genai-coe@abbott.com" TargetMode="External"/><Relationship Id="rId5" Type="http://schemas.openxmlformats.org/officeDocument/2006/relationships/hyperlink" Target="mailto:genai-coe@abbott.com" TargetMode="External"/><Relationship Id="rId10" Type="http://schemas.openxmlformats.org/officeDocument/2006/relationships/hyperlink" Target="mailto:genai-coe@abbott.com" TargetMode="External"/><Relationship Id="rId19" Type="http://schemas.openxmlformats.org/officeDocument/2006/relationships/hyperlink" Target="mailto:genai-coe@abbott.com" TargetMode="External"/><Relationship Id="rId31" Type="http://schemas.openxmlformats.org/officeDocument/2006/relationships/hyperlink" Target="mailto:genai-coe@abbott.com" TargetMode="External"/><Relationship Id="rId44" Type="http://schemas.openxmlformats.org/officeDocument/2006/relationships/hyperlink" Target="https://chatpowerbi.ai/knowledge-base/how-to-install-chatpowerbi" TargetMode="External"/><Relationship Id="rId52" Type="http://schemas.openxmlformats.org/officeDocument/2006/relationships/hyperlink" Target="mailto:genai-coe@abbott.com" TargetMode="External"/><Relationship Id="rId4" Type="http://schemas.openxmlformats.org/officeDocument/2006/relationships/hyperlink" Target="mailto:genai-coe@abbott.com" TargetMode="External"/><Relationship Id="rId9" Type="http://schemas.openxmlformats.org/officeDocument/2006/relationships/hyperlink" Target="mailto:genai-coe@abbott.com" TargetMode="External"/><Relationship Id="rId14" Type="http://schemas.openxmlformats.org/officeDocument/2006/relationships/hyperlink" Target="../../../../../GLB-BTS-CoPilot/SitePages/Home.aspx" TargetMode="External"/><Relationship Id="rId22" Type="http://schemas.openxmlformats.org/officeDocument/2006/relationships/hyperlink" Target="mailto:genai-coe@abbott.com" TargetMode="External"/><Relationship Id="rId27" Type="http://schemas.openxmlformats.org/officeDocument/2006/relationships/hyperlink" Target="mailto:genai-coe@abbott.com" TargetMode="External"/><Relationship Id="rId30" Type="http://schemas.openxmlformats.org/officeDocument/2006/relationships/hyperlink" Target="mailto:genai-coe@abbott.com" TargetMode="External"/><Relationship Id="rId35" Type="http://schemas.openxmlformats.org/officeDocument/2006/relationships/hyperlink" Target="mailto:genai-coe@abbott.com" TargetMode="External"/><Relationship Id="rId43" Type="http://schemas.openxmlformats.org/officeDocument/2006/relationships/hyperlink" Target="mailto:genai-coe@abbott.com" TargetMode="External"/><Relationship Id="rId48" Type="http://schemas.openxmlformats.org/officeDocument/2006/relationships/hyperlink" Target="mailto:genai-coe@abbott.com" TargetMode="External"/><Relationship Id="rId8" Type="http://schemas.openxmlformats.org/officeDocument/2006/relationships/hyperlink" Target="mailto:genai-coe@abbott.com" TargetMode="External"/><Relationship Id="rId51" Type="http://schemas.openxmlformats.org/officeDocument/2006/relationships/hyperlink" Target="mailto:genai-coe@abbott.com" TargetMode="External"/><Relationship Id="rId3" Type="http://schemas.openxmlformats.org/officeDocument/2006/relationships/hyperlink" Target="mailto:genai-coe@abbott.com" TargetMode="External"/><Relationship Id="rId12" Type="http://schemas.openxmlformats.org/officeDocument/2006/relationships/hyperlink" Target="mailto:genai-coe@abbott.com" TargetMode="External"/><Relationship Id="rId17" Type="http://schemas.openxmlformats.org/officeDocument/2006/relationships/hyperlink" Target="../../../../../GLB-BTS-DatabricksUC/SitePages/Databricks-Genie-%26-%20AI-assistants.aspx" TargetMode="External"/><Relationship Id="rId25" Type="http://schemas.openxmlformats.org/officeDocument/2006/relationships/hyperlink" Target="../../../../../GLB-BTS-GenAIDeveloper" TargetMode="External"/><Relationship Id="rId33" Type="http://schemas.openxmlformats.org/officeDocument/2006/relationships/hyperlink" Target="mailto:genai-coe@abbott.com" TargetMode="External"/><Relationship Id="rId38" Type="http://schemas.openxmlformats.org/officeDocument/2006/relationships/hyperlink" Target="mailto:genai-coe@abbott.com" TargetMode="External"/><Relationship Id="rId46" Type="http://schemas.openxmlformats.org/officeDocument/2006/relationships/hyperlink" Target="mailto:genai-coe@abbott.com" TargetMode="External"/><Relationship Id="rId20" Type="http://schemas.openxmlformats.org/officeDocument/2006/relationships/hyperlink" Target="mailto:genai-coe@abbott.com" TargetMode="External"/><Relationship Id="rId41" Type="http://schemas.openxmlformats.org/officeDocument/2006/relationships/hyperlink" Target="mailto:genai-coe@abbott.com" TargetMode="External"/><Relationship Id="rId54" Type="http://schemas.openxmlformats.org/officeDocument/2006/relationships/hyperlink" Target="mailto:genai-coe@abbott.com" TargetMode="External"/><Relationship Id="rId1" Type="http://schemas.openxmlformats.org/officeDocument/2006/relationships/hyperlink" Target="mailto:genai-coe@abbott.com" TargetMode="External"/><Relationship Id="rId6" Type="http://schemas.openxmlformats.org/officeDocument/2006/relationships/hyperlink" Target="mailto:genai-coe@abbott.com" TargetMode="External"/><Relationship Id="rId15" Type="http://schemas.openxmlformats.org/officeDocument/2006/relationships/hyperlink" Target="mailto:genai-coe@abbott.com" TargetMode="External"/><Relationship Id="rId23" Type="http://schemas.openxmlformats.org/officeDocument/2006/relationships/hyperlink" Target="mailto:genai-coe@abbott.com" TargetMode="External"/><Relationship Id="rId28" Type="http://schemas.openxmlformats.org/officeDocument/2006/relationships/hyperlink" Target="mailto:genai-coe@abbott.com" TargetMode="External"/><Relationship Id="rId36" Type="http://schemas.openxmlformats.org/officeDocument/2006/relationships/hyperlink" Target="mailto:genai-coe@abbott.com" TargetMode="External"/><Relationship Id="rId49" Type="http://schemas.openxmlformats.org/officeDocument/2006/relationships/hyperlink" Target="mailto:genai-coe@abbott.com" TargetMode="Externa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9612A-3809-49FB-96CB-D58D365C6DB4}">
  <sheetPr>
    <tabColor rgb="FFFFC000"/>
  </sheetPr>
  <dimension ref="A1:V1048541"/>
  <sheetViews>
    <sheetView zoomScale="110" zoomScaleNormal="110" workbookViewId="0">
      <pane xSplit="3" ySplit="3" topLeftCell="D64" activePane="bottomRight" state="frozen"/>
      <selection pane="bottomRight" activeCell="C72" sqref="C72"/>
      <selection pane="bottomLeft"/>
      <selection pane="topRight"/>
    </sheetView>
  </sheetViews>
  <sheetFormatPr defaultColWidth="8.42578125" defaultRowHeight="15" customHeight="1"/>
  <cols>
    <col min="1" max="1" width="8.42578125" style="92"/>
    <col min="2" max="2" width="4.42578125" style="9" customWidth="1"/>
    <col min="3" max="3" width="20.85546875" style="79" customWidth="1"/>
    <col min="4" max="4" width="16.42578125" style="9" customWidth="1"/>
    <col min="5" max="5" width="12.140625" style="9" customWidth="1"/>
    <col min="6" max="6" width="25" style="70" customWidth="1"/>
    <col min="7" max="7" width="31.85546875" style="70" customWidth="1"/>
    <col min="8" max="8" width="60.85546875" style="9" customWidth="1"/>
    <col min="9" max="9" width="23.42578125" style="70" customWidth="1"/>
    <col min="10" max="11" width="14.42578125" style="9" customWidth="1"/>
    <col min="12" max="12" width="34.140625" style="70" customWidth="1"/>
    <col min="13" max="13" width="29.140625" style="70" customWidth="1"/>
    <col min="14" max="14" width="24.42578125" style="70" customWidth="1"/>
    <col min="15" max="15" width="29.85546875" style="70" customWidth="1"/>
    <col min="16" max="16" width="19.42578125" style="70" customWidth="1"/>
    <col min="17" max="17" width="13.140625" style="9" customWidth="1"/>
    <col min="18" max="19" width="13.140625" style="6" customWidth="1"/>
    <col min="20" max="20" width="23.28515625" style="70" customWidth="1"/>
    <col min="21" max="21" width="48.140625" style="9" customWidth="1"/>
    <col min="22" max="22" width="62" style="9" customWidth="1"/>
    <col min="23" max="16384" width="8.42578125" style="9"/>
  </cols>
  <sheetData>
    <row r="1" spans="1:22" ht="23.45">
      <c r="B1" s="72" t="s">
        <v>0</v>
      </c>
      <c r="C1" s="73"/>
      <c r="D1" s="74"/>
      <c r="E1" s="75"/>
      <c r="F1" s="68"/>
      <c r="G1" s="68"/>
      <c r="H1" s="75"/>
      <c r="I1" s="68"/>
      <c r="J1" s="75"/>
      <c r="K1" s="75"/>
      <c r="L1" s="68"/>
      <c r="M1" s="68"/>
      <c r="N1" s="68"/>
      <c r="O1" s="68"/>
      <c r="P1" s="68"/>
      <c r="Q1" s="75"/>
      <c r="R1" s="26"/>
      <c r="S1" s="26"/>
      <c r="T1" s="68"/>
      <c r="U1" s="75"/>
    </row>
    <row r="2" spans="1:22" ht="14.45">
      <c r="B2" s="129" t="s">
        <v>1</v>
      </c>
      <c r="C2" s="129"/>
      <c r="D2" s="129"/>
      <c r="E2" s="129"/>
      <c r="F2" s="130" t="s">
        <v>2</v>
      </c>
      <c r="G2" s="130"/>
      <c r="H2" s="130"/>
      <c r="I2" s="131" t="s">
        <v>3</v>
      </c>
      <c r="J2" s="131"/>
      <c r="K2" s="131"/>
      <c r="L2" s="69"/>
      <c r="M2" s="76" t="s">
        <v>4</v>
      </c>
      <c r="N2" s="76" t="s">
        <v>5</v>
      </c>
      <c r="O2" s="76" t="s">
        <v>6</v>
      </c>
      <c r="P2" s="76" t="s">
        <v>7</v>
      </c>
      <c r="Q2" s="132" t="s">
        <v>8</v>
      </c>
      <c r="R2" s="133"/>
      <c r="S2" s="133"/>
      <c r="T2" s="132"/>
      <c r="U2" s="134" t="s">
        <v>9</v>
      </c>
      <c r="V2" s="134"/>
    </row>
    <row r="3" spans="1:22" s="25" customFormat="1" ht="75.75" customHeight="1">
      <c r="A3" s="93" t="s">
        <v>10</v>
      </c>
      <c r="B3" s="19" t="s">
        <v>11</v>
      </c>
      <c r="C3" s="20" t="s">
        <v>12</v>
      </c>
      <c r="D3" s="21" t="s">
        <v>13</v>
      </c>
      <c r="E3" s="21" t="s">
        <v>14</v>
      </c>
      <c r="F3" s="28" t="s">
        <v>15</v>
      </c>
      <c r="G3" s="21" t="s">
        <v>16</v>
      </c>
      <c r="H3" s="29" t="s">
        <v>17</v>
      </c>
      <c r="I3" s="30" t="s">
        <v>18</v>
      </c>
      <c r="J3" s="30" t="s">
        <v>19</v>
      </c>
      <c r="K3" s="30" t="s">
        <v>20</v>
      </c>
      <c r="L3" s="67" t="s">
        <v>21</v>
      </c>
      <c r="M3" s="31" t="s">
        <v>22</v>
      </c>
      <c r="N3" s="32" t="s">
        <v>23</v>
      </c>
      <c r="O3" s="22" t="s">
        <v>24</v>
      </c>
      <c r="P3" s="22" t="s">
        <v>25</v>
      </c>
      <c r="Q3" s="23" t="s">
        <v>26</v>
      </c>
      <c r="R3" s="23" t="s">
        <v>27</v>
      </c>
      <c r="S3" s="23" t="s">
        <v>28</v>
      </c>
      <c r="T3" s="23" t="s">
        <v>29</v>
      </c>
      <c r="U3" s="24" t="s">
        <v>30</v>
      </c>
      <c r="V3" s="24" t="s">
        <v>31</v>
      </c>
    </row>
    <row r="4" spans="1:22" ht="15" customHeight="1">
      <c r="B4" s="10">
        <v>36</v>
      </c>
      <c r="C4" s="85" t="s">
        <v>32</v>
      </c>
      <c r="D4" s="10" t="s">
        <v>33</v>
      </c>
      <c r="E4" s="7" t="s">
        <v>34</v>
      </c>
      <c r="F4" s="8" t="s">
        <v>35</v>
      </c>
      <c r="G4" s="8" t="s">
        <v>36</v>
      </c>
      <c r="H4" s="8" t="s">
        <v>37</v>
      </c>
      <c r="I4" s="8" t="s">
        <v>38</v>
      </c>
      <c r="J4" s="7" t="s">
        <v>39</v>
      </c>
      <c r="K4" s="7" t="s">
        <v>39</v>
      </c>
      <c r="L4" s="14" t="s">
        <v>40</v>
      </c>
      <c r="M4" s="14" t="s">
        <v>41</v>
      </c>
      <c r="N4" s="14" t="s">
        <v>42</v>
      </c>
      <c r="O4" s="8"/>
      <c r="P4" s="14" t="s">
        <v>43</v>
      </c>
      <c r="Q4" s="14" t="s">
        <v>44</v>
      </c>
      <c r="R4" s="10"/>
      <c r="S4" s="10"/>
      <c r="T4" s="14"/>
      <c r="U4" s="7"/>
      <c r="V4" s="7"/>
    </row>
    <row r="5" spans="1:22" ht="15" customHeight="1">
      <c r="A5" s="92" t="s">
        <v>45</v>
      </c>
      <c r="B5" s="10">
        <v>29</v>
      </c>
      <c r="C5" s="85" t="s">
        <v>46</v>
      </c>
      <c r="D5" s="10" t="s">
        <v>33</v>
      </c>
      <c r="E5" s="7" t="s">
        <v>34</v>
      </c>
      <c r="F5" s="8" t="s">
        <v>35</v>
      </c>
      <c r="G5" s="8" t="s">
        <v>47</v>
      </c>
      <c r="H5" s="8" t="s">
        <v>48</v>
      </c>
      <c r="I5" s="8" t="s">
        <v>49</v>
      </c>
      <c r="J5" s="7" t="s">
        <v>50</v>
      </c>
      <c r="K5" s="10" t="s">
        <v>51</v>
      </c>
      <c r="L5" s="10"/>
      <c r="M5" s="14" t="s">
        <v>52</v>
      </c>
      <c r="N5" s="14" t="s">
        <v>53</v>
      </c>
      <c r="O5" s="8" t="s">
        <v>54</v>
      </c>
      <c r="P5" s="14" t="s">
        <v>43</v>
      </c>
      <c r="Q5" s="10" t="s">
        <v>44</v>
      </c>
      <c r="R5" s="10"/>
      <c r="S5" s="10" t="s">
        <v>55</v>
      </c>
      <c r="T5" s="14"/>
      <c r="U5" s="7"/>
      <c r="V5" s="7"/>
    </row>
    <row r="6" spans="1:22" ht="15" customHeight="1">
      <c r="A6" s="92" t="s">
        <v>56</v>
      </c>
      <c r="B6" s="10">
        <v>1</v>
      </c>
      <c r="C6" s="15" t="s">
        <v>57</v>
      </c>
      <c r="D6" s="10" t="s">
        <v>58</v>
      </c>
      <c r="E6" s="10" t="s">
        <v>34</v>
      </c>
      <c r="F6" s="14" t="s">
        <v>59</v>
      </c>
      <c r="G6" s="14" t="s">
        <v>60</v>
      </c>
      <c r="H6" s="14" t="s">
        <v>61</v>
      </c>
      <c r="I6" s="14" t="s">
        <v>62</v>
      </c>
      <c r="J6" s="10" t="s">
        <v>50</v>
      </c>
      <c r="K6" s="10" t="s">
        <v>50</v>
      </c>
      <c r="L6" s="14" t="s">
        <v>63</v>
      </c>
      <c r="M6" s="14" t="s">
        <v>64</v>
      </c>
      <c r="N6" s="14" t="s">
        <v>65</v>
      </c>
      <c r="O6" s="14" t="s">
        <v>66</v>
      </c>
      <c r="P6" s="70" t="s">
        <v>67</v>
      </c>
      <c r="Q6" s="10" t="s">
        <v>68</v>
      </c>
      <c r="R6" s="10"/>
      <c r="S6" s="10" t="s">
        <v>69</v>
      </c>
      <c r="T6" s="14" t="s">
        <v>70</v>
      </c>
      <c r="U6" s="10" t="s">
        <v>71</v>
      </c>
      <c r="V6" s="10" t="s">
        <v>72</v>
      </c>
    </row>
    <row r="7" spans="1:22" ht="15" customHeight="1">
      <c r="A7" s="92" t="s">
        <v>56</v>
      </c>
      <c r="B7" s="10">
        <v>14</v>
      </c>
      <c r="C7" s="15" t="s">
        <v>73</v>
      </c>
      <c r="D7" s="10" t="s">
        <v>58</v>
      </c>
      <c r="E7" s="10" t="s">
        <v>34</v>
      </c>
      <c r="F7" s="14" t="s">
        <v>74</v>
      </c>
      <c r="G7" s="14" t="s">
        <v>75</v>
      </c>
      <c r="H7" s="14" t="s">
        <v>76</v>
      </c>
      <c r="I7" s="14" t="s">
        <v>77</v>
      </c>
      <c r="J7" s="10" t="s">
        <v>50</v>
      </c>
      <c r="K7" s="10" t="s">
        <v>50</v>
      </c>
      <c r="L7" s="14" t="s">
        <v>78</v>
      </c>
      <c r="M7" s="14" t="s">
        <v>64</v>
      </c>
      <c r="N7" s="14" t="s">
        <v>65</v>
      </c>
      <c r="O7" s="14" t="s">
        <v>79</v>
      </c>
      <c r="P7" s="78" t="s">
        <v>43</v>
      </c>
      <c r="Q7" s="10" t="s">
        <v>80</v>
      </c>
      <c r="R7" s="10"/>
      <c r="S7" s="10" t="s">
        <v>55</v>
      </c>
      <c r="T7" s="14" t="s">
        <v>81</v>
      </c>
      <c r="U7" s="14" t="s">
        <v>82</v>
      </c>
      <c r="V7" s="10"/>
    </row>
    <row r="8" spans="1:22" ht="15" customHeight="1">
      <c r="A8" s="92" t="s">
        <v>56</v>
      </c>
      <c r="B8" s="10">
        <v>75</v>
      </c>
      <c r="C8" s="15" t="s">
        <v>83</v>
      </c>
      <c r="D8" s="10" t="s">
        <v>58</v>
      </c>
      <c r="E8" s="10" t="s">
        <v>34</v>
      </c>
      <c r="F8" s="81"/>
      <c r="G8" s="14" t="s">
        <v>84</v>
      </c>
      <c r="H8" s="14" t="s">
        <v>85</v>
      </c>
      <c r="I8" s="14"/>
      <c r="J8" s="10" t="s">
        <v>50</v>
      </c>
      <c r="K8" s="10" t="s">
        <v>50</v>
      </c>
      <c r="L8" s="14" t="s">
        <v>86</v>
      </c>
      <c r="M8" s="14"/>
      <c r="N8" s="14"/>
      <c r="O8" s="14"/>
      <c r="P8" s="14"/>
      <c r="Q8" s="10"/>
      <c r="R8" s="7"/>
      <c r="S8" s="7"/>
      <c r="T8" s="14"/>
      <c r="U8" s="10"/>
      <c r="V8" s="10"/>
    </row>
    <row r="9" spans="1:22" ht="15" customHeight="1">
      <c r="B9" s="10">
        <v>74</v>
      </c>
      <c r="C9" s="85" t="s">
        <v>87</v>
      </c>
      <c r="D9" s="7" t="s">
        <v>58</v>
      </c>
      <c r="E9" s="7" t="s">
        <v>34</v>
      </c>
      <c r="F9" s="41"/>
      <c r="G9" s="8" t="s">
        <v>88</v>
      </c>
      <c r="H9" s="8" t="s">
        <v>89</v>
      </c>
      <c r="I9" s="8"/>
      <c r="J9" s="7" t="s">
        <v>50</v>
      </c>
      <c r="K9" s="7" t="s">
        <v>39</v>
      </c>
      <c r="L9" s="14" t="s">
        <v>90</v>
      </c>
      <c r="M9" s="14"/>
      <c r="N9" s="14"/>
      <c r="O9" s="8"/>
      <c r="P9" s="8"/>
      <c r="Q9" s="7"/>
      <c r="R9" s="7"/>
      <c r="S9" s="7"/>
      <c r="T9" s="14"/>
      <c r="U9" s="7"/>
      <c r="V9" s="7"/>
    </row>
    <row r="10" spans="1:22" ht="15" customHeight="1">
      <c r="A10" s="92" t="s">
        <v>56</v>
      </c>
      <c r="B10" s="10">
        <v>9</v>
      </c>
      <c r="C10" s="15" t="s">
        <v>91</v>
      </c>
      <c r="D10" s="10" t="s">
        <v>58</v>
      </c>
      <c r="E10" s="10" t="s">
        <v>34</v>
      </c>
      <c r="F10" s="14" t="s">
        <v>74</v>
      </c>
      <c r="G10" s="14" t="s">
        <v>92</v>
      </c>
      <c r="H10" s="14" t="s">
        <v>93</v>
      </c>
      <c r="I10" s="14" t="s">
        <v>94</v>
      </c>
      <c r="J10" s="10" t="s">
        <v>50</v>
      </c>
      <c r="K10" s="10" t="s">
        <v>39</v>
      </c>
      <c r="L10" s="14" t="s">
        <v>95</v>
      </c>
      <c r="M10" s="14" t="s">
        <v>41</v>
      </c>
      <c r="N10" s="14" t="s">
        <v>96</v>
      </c>
      <c r="O10" s="14" t="s">
        <v>97</v>
      </c>
      <c r="P10" s="34" t="s">
        <v>43</v>
      </c>
      <c r="Q10" s="10"/>
      <c r="R10" s="10"/>
      <c r="S10" s="10"/>
      <c r="T10" s="14"/>
      <c r="U10" s="10" t="s">
        <v>98</v>
      </c>
      <c r="V10" s="10"/>
    </row>
    <row r="11" spans="1:22" ht="15" customHeight="1">
      <c r="A11" s="92" t="s">
        <v>56</v>
      </c>
      <c r="B11" s="10">
        <v>71</v>
      </c>
      <c r="C11" s="15" t="s">
        <v>99</v>
      </c>
      <c r="D11" s="10"/>
      <c r="E11" s="10"/>
      <c r="F11" s="81" t="s">
        <v>100</v>
      </c>
      <c r="G11" s="14" t="s">
        <v>101</v>
      </c>
      <c r="H11" s="14" t="s">
        <v>102</v>
      </c>
      <c r="I11" s="14"/>
      <c r="J11" s="10" t="s">
        <v>50</v>
      </c>
      <c r="K11" s="10" t="s">
        <v>50</v>
      </c>
      <c r="L11" s="14" t="s">
        <v>103</v>
      </c>
      <c r="M11" s="14"/>
      <c r="N11" s="14"/>
      <c r="O11" s="14"/>
      <c r="Q11" s="10"/>
      <c r="R11" s="7"/>
      <c r="S11" s="7"/>
      <c r="T11" s="14"/>
      <c r="U11" s="10"/>
      <c r="V11" s="10"/>
    </row>
    <row r="12" spans="1:22" ht="15" customHeight="1">
      <c r="A12" s="92" t="s">
        <v>56</v>
      </c>
      <c r="B12" s="10">
        <v>3</v>
      </c>
      <c r="C12" s="15" t="s">
        <v>104</v>
      </c>
      <c r="D12" s="10" t="s">
        <v>58</v>
      </c>
      <c r="E12" s="10" t="s">
        <v>105</v>
      </c>
      <c r="F12" s="14" t="s">
        <v>106</v>
      </c>
      <c r="G12" s="14" t="s">
        <v>107</v>
      </c>
      <c r="H12" s="14" t="s">
        <v>108</v>
      </c>
      <c r="I12" s="14" t="s">
        <v>109</v>
      </c>
      <c r="J12" s="10" t="s">
        <v>50</v>
      </c>
      <c r="K12" s="10" t="s">
        <v>50</v>
      </c>
      <c r="L12" s="14" t="s">
        <v>110</v>
      </c>
      <c r="M12" s="14" t="s">
        <v>64</v>
      </c>
      <c r="N12" s="14" t="s">
        <v>111</v>
      </c>
      <c r="O12" s="35" t="s">
        <v>112</v>
      </c>
      <c r="P12" s="91" t="s">
        <v>43</v>
      </c>
      <c r="Q12" s="36"/>
      <c r="R12" s="10"/>
      <c r="S12" s="10"/>
      <c r="T12" s="14"/>
      <c r="U12" s="10" t="s">
        <v>113</v>
      </c>
      <c r="V12" s="14" t="s">
        <v>114</v>
      </c>
    </row>
    <row r="13" spans="1:22" ht="15" customHeight="1">
      <c r="B13" s="10">
        <v>19</v>
      </c>
      <c r="C13" s="15" t="s">
        <v>115</v>
      </c>
      <c r="D13" s="10" t="s">
        <v>58</v>
      </c>
      <c r="E13" s="10" t="s">
        <v>116</v>
      </c>
      <c r="F13" s="14" t="s">
        <v>117</v>
      </c>
      <c r="G13" s="14" t="s">
        <v>117</v>
      </c>
      <c r="H13" s="14" t="s">
        <v>118</v>
      </c>
      <c r="I13" s="14" t="s">
        <v>119</v>
      </c>
      <c r="J13" s="10" t="s">
        <v>50</v>
      </c>
      <c r="K13" s="10" t="s">
        <v>39</v>
      </c>
      <c r="L13" s="10"/>
      <c r="M13" s="14" t="s">
        <v>41</v>
      </c>
      <c r="N13" s="14" t="s">
        <v>120</v>
      </c>
      <c r="O13" s="14" t="s">
        <v>121</v>
      </c>
      <c r="P13" s="70" t="s">
        <v>43</v>
      </c>
      <c r="Q13" s="10"/>
      <c r="R13" s="10"/>
      <c r="S13" s="10"/>
      <c r="T13" s="14" t="s">
        <v>122</v>
      </c>
      <c r="U13" s="10" t="s">
        <v>123</v>
      </c>
      <c r="V13" s="10" t="s">
        <v>124</v>
      </c>
    </row>
    <row r="14" spans="1:22" ht="15" customHeight="1">
      <c r="A14" s="92" t="s">
        <v>56</v>
      </c>
      <c r="B14" s="10">
        <v>79</v>
      </c>
      <c r="C14" s="15" t="s">
        <v>125</v>
      </c>
      <c r="D14" s="10" t="s">
        <v>33</v>
      </c>
      <c r="E14" s="10" t="s">
        <v>34</v>
      </c>
      <c r="F14" s="14" t="s">
        <v>126</v>
      </c>
      <c r="G14" s="10" t="s">
        <v>127</v>
      </c>
      <c r="H14" s="14" t="s">
        <v>128</v>
      </c>
      <c r="I14" s="14"/>
      <c r="J14" s="10" t="s">
        <v>50</v>
      </c>
      <c r="K14" s="10" t="s">
        <v>50</v>
      </c>
      <c r="L14" s="14" t="s">
        <v>129</v>
      </c>
      <c r="M14" s="14"/>
      <c r="N14" s="14"/>
      <c r="O14" s="14"/>
      <c r="P14" s="14"/>
      <c r="Q14" s="10"/>
      <c r="R14" s="7"/>
      <c r="S14" s="7"/>
      <c r="T14" s="14"/>
      <c r="U14" s="10"/>
      <c r="V14" s="10"/>
    </row>
    <row r="15" spans="1:22" ht="15" customHeight="1">
      <c r="A15" s="92" t="s">
        <v>56</v>
      </c>
      <c r="B15" s="10">
        <v>58</v>
      </c>
      <c r="C15" s="83" t="s">
        <v>130</v>
      </c>
      <c r="D15" s="10" t="s">
        <v>33</v>
      </c>
      <c r="E15" s="10"/>
      <c r="F15" s="14" t="s">
        <v>106</v>
      </c>
      <c r="G15" s="40" t="s">
        <v>131</v>
      </c>
      <c r="H15" s="14" t="s">
        <v>132</v>
      </c>
      <c r="I15" s="14" t="s">
        <v>95</v>
      </c>
      <c r="J15" s="10" t="s">
        <v>50</v>
      </c>
      <c r="K15" s="10" t="s">
        <v>50</v>
      </c>
      <c r="L15" s="14" t="s">
        <v>133</v>
      </c>
      <c r="M15" s="14" t="s">
        <v>134</v>
      </c>
      <c r="N15" s="14" t="s">
        <v>65</v>
      </c>
      <c r="O15" s="14"/>
      <c r="Q15" s="10"/>
      <c r="R15" s="10"/>
      <c r="S15" s="10"/>
      <c r="T15" s="14"/>
      <c r="U15" s="10"/>
      <c r="V15" s="10"/>
    </row>
    <row r="16" spans="1:22" ht="15" customHeight="1">
      <c r="A16" s="92" t="s">
        <v>56</v>
      </c>
      <c r="B16" s="10">
        <v>41</v>
      </c>
      <c r="C16" s="85" t="s">
        <v>135</v>
      </c>
      <c r="D16" s="10" t="s">
        <v>58</v>
      </c>
      <c r="E16" s="7" t="s">
        <v>105</v>
      </c>
      <c r="F16" s="8" t="s">
        <v>136</v>
      </c>
      <c r="G16" s="71" t="s">
        <v>137</v>
      </c>
      <c r="H16" s="8" t="s">
        <v>138</v>
      </c>
      <c r="I16" s="8" t="s">
        <v>139</v>
      </c>
      <c r="J16" s="7" t="s">
        <v>50</v>
      </c>
      <c r="K16" s="10" t="s">
        <v>39</v>
      </c>
      <c r="L16" s="10"/>
      <c r="M16" s="14" t="s">
        <v>140</v>
      </c>
      <c r="N16" s="14" t="s">
        <v>141</v>
      </c>
      <c r="O16" s="90"/>
      <c r="P16" s="88" t="s">
        <v>43</v>
      </c>
      <c r="Q16" s="36"/>
      <c r="R16" s="10"/>
      <c r="S16" s="10"/>
      <c r="T16" s="14"/>
      <c r="U16" s="7"/>
      <c r="V16" s="7"/>
    </row>
    <row r="17" spans="1:22" ht="15" customHeight="1">
      <c r="B17" s="10">
        <v>46</v>
      </c>
      <c r="C17" s="83" t="s">
        <v>142</v>
      </c>
      <c r="D17" s="7" t="s">
        <v>58</v>
      </c>
      <c r="E17" s="7" t="s">
        <v>34</v>
      </c>
      <c r="F17" s="8" t="s">
        <v>143</v>
      </c>
      <c r="G17" s="8" t="s">
        <v>144</v>
      </c>
      <c r="H17" s="8" t="s">
        <v>145</v>
      </c>
      <c r="I17" s="8" t="s">
        <v>146</v>
      </c>
      <c r="J17" s="7" t="s">
        <v>39</v>
      </c>
      <c r="K17" s="7" t="s">
        <v>39</v>
      </c>
      <c r="L17" s="7"/>
      <c r="M17" s="14" t="s">
        <v>41</v>
      </c>
      <c r="N17" s="14" t="s">
        <v>141</v>
      </c>
      <c r="O17" s="8"/>
      <c r="P17" s="70" t="s">
        <v>43</v>
      </c>
      <c r="Q17" s="10"/>
      <c r="R17" s="10"/>
      <c r="S17" s="10"/>
      <c r="T17" s="14"/>
      <c r="U17" s="7"/>
      <c r="V17" s="7"/>
    </row>
    <row r="18" spans="1:22" ht="15" customHeight="1">
      <c r="A18" s="92" t="s">
        <v>56</v>
      </c>
      <c r="B18" s="10">
        <v>66</v>
      </c>
      <c r="C18" s="15" t="s">
        <v>147</v>
      </c>
      <c r="D18" s="10" t="s">
        <v>58</v>
      </c>
      <c r="E18" s="10" t="s">
        <v>34</v>
      </c>
      <c r="F18" s="14" t="s">
        <v>106</v>
      </c>
      <c r="G18" s="14" t="s">
        <v>148</v>
      </c>
      <c r="H18" s="14" t="s">
        <v>149</v>
      </c>
      <c r="I18" s="14" t="s">
        <v>119</v>
      </c>
      <c r="J18" s="10" t="s">
        <v>50</v>
      </c>
      <c r="K18" s="10" t="s">
        <v>50</v>
      </c>
      <c r="L18" s="14" t="s">
        <v>78</v>
      </c>
      <c r="M18" s="14" t="s">
        <v>52</v>
      </c>
      <c r="N18" s="14" t="s">
        <v>141</v>
      </c>
      <c r="O18" s="14" t="s">
        <v>150</v>
      </c>
      <c r="P18" s="14" t="s">
        <v>43</v>
      </c>
      <c r="Q18" s="10"/>
      <c r="R18" s="10"/>
      <c r="S18" s="10"/>
      <c r="T18" s="14" t="s">
        <v>122</v>
      </c>
      <c r="U18" s="10"/>
      <c r="V18" s="10"/>
    </row>
    <row r="19" spans="1:22" ht="15" customHeight="1">
      <c r="A19" s="92" t="s">
        <v>56</v>
      </c>
      <c r="B19" s="10">
        <v>43</v>
      </c>
      <c r="C19" s="15" t="s">
        <v>151</v>
      </c>
      <c r="D19" s="10" t="s">
        <v>33</v>
      </c>
      <c r="E19" s="10"/>
      <c r="F19" s="14" t="s">
        <v>74</v>
      </c>
      <c r="G19" s="14" t="s">
        <v>152</v>
      </c>
      <c r="H19" s="14" t="s">
        <v>153</v>
      </c>
      <c r="I19" s="14" t="s">
        <v>154</v>
      </c>
      <c r="J19" s="10" t="s">
        <v>50</v>
      </c>
      <c r="K19" s="10" t="s">
        <v>50</v>
      </c>
      <c r="L19" s="14" t="s">
        <v>155</v>
      </c>
      <c r="M19" s="14" t="s">
        <v>140</v>
      </c>
      <c r="N19" s="14" t="s">
        <v>141</v>
      </c>
      <c r="O19" s="14"/>
      <c r="P19" s="14" t="s">
        <v>43</v>
      </c>
      <c r="Q19" s="10"/>
      <c r="R19" s="10"/>
      <c r="S19" s="10"/>
      <c r="T19" s="14"/>
      <c r="U19" s="10"/>
      <c r="V19" s="10"/>
    </row>
    <row r="20" spans="1:22" ht="15" customHeight="1">
      <c r="B20" s="10">
        <v>72</v>
      </c>
      <c r="C20" s="85" t="s">
        <v>156</v>
      </c>
      <c r="D20" s="7" t="s">
        <v>58</v>
      </c>
      <c r="E20" s="8" t="s">
        <v>14</v>
      </c>
      <c r="F20" s="41"/>
      <c r="G20" s="8" t="s">
        <v>157</v>
      </c>
      <c r="H20" s="8" t="s">
        <v>158</v>
      </c>
      <c r="I20" s="8"/>
      <c r="J20" s="7" t="s">
        <v>50</v>
      </c>
      <c r="K20" s="7" t="s">
        <v>39</v>
      </c>
      <c r="L20" s="14" t="s">
        <v>90</v>
      </c>
      <c r="M20" s="14"/>
      <c r="N20" s="14"/>
      <c r="O20" s="8"/>
      <c r="P20" s="8"/>
      <c r="Q20" s="7"/>
      <c r="R20" s="7"/>
      <c r="S20" s="7"/>
      <c r="T20" s="14"/>
      <c r="U20" s="7"/>
      <c r="V20" s="7"/>
    </row>
    <row r="21" spans="1:22" ht="15" customHeight="1">
      <c r="A21" s="92" t="s">
        <v>56</v>
      </c>
      <c r="B21" s="10">
        <v>34</v>
      </c>
      <c r="C21" s="15" t="s">
        <v>159</v>
      </c>
      <c r="D21" s="10" t="s">
        <v>33</v>
      </c>
      <c r="E21" s="10" t="s">
        <v>34</v>
      </c>
      <c r="F21" s="14" t="s">
        <v>160</v>
      </c>
      <c r="G21" s="14" t="s">
        <v>161</v>
      </c>
      <c r="H21" s="14" t="s">
        <v>162</v>
      </c>
      <c r="I21" s="14" t="s">
        <v>163</v>
      </c>
      <c r="J21" s="10" t="s">
        <v>50</v>
      </c>
      <c r="K21" s="10" t="s">
        <v>50</v>
      </c>
      <c r="L21" s="14" t="s">
        <v>40</v>
      </c>
      <c r="M21" s="14" t="s">
        <v>134</v>
      </c>
      <c r="N21" s="14" t="s">
        <v>164</v>
      </c>
      <c r="O21" s="14"/>
      <c r="P21" s="14" t="s">
        <v>165</v>
      </c>
      <c r="Q21" s="10" t="s">
        <v>44</v>
      </c>
      <c r="R21" s="10"/>
      <c r="S21" s="10"/>
      <c r="T21" s="14"/>
      <c r="U21" s="14" t="s">
        <v>166</v>
      </c>
      <c r="V21" s="10"/>
    </row>
    <row r="22" spans="1:22" ht="15" customHeight="1">
      <c r="B22" s="10">
        <v>78</v>
      </c>
      <c r="C22" s="85" t="s">
        <v>167</v>
      </c>
      <c r="D22" s="7" t="s">
        <v>33</v>
      </c>
      <c r="E22" s="7" t="s">
        <v>34</v>
      </c>
      <c r="F22" s="8" t="s">
        <v>168</v>
      </c>
      <c r="G22" s="8" t="s">
        <v>169</v>
      </c>
      <c r="H22" s="8" t="s">
        <v>170</v>
      </c>
      <c r="I22" s="8"/>
      <c r="J22" s="7" t="s">
        <v>50</v>
      </c>
      <c r="K22" s="7" t="s">
        <v>39</v>
      </c>
      <c r="L22" s="14" t="s">
        <v>171</v>
      </c>
      <c r="M22" s="8"/>
      <c r="N22" s="8"/>
      <c r="O22" s="8"/>
      <c r="P22" s="8"/>
      <c r="Q22" s="7"/>
      <c r="R22" s="7"/>
      <c r="S22" s="7"/>
      <c r="T22" s="14"/>
      <c r="U22" s="7"/>
      <c r="V22" s="7"/>
    </row>
    <row r="23" spans="1:22" ht="15" customHeight="1">
      <c r="B23" s="10">
        <v>76</v>
      </c>
      <c r="C23" s="85" t="s">
        <v>172</v>
      </c>
      <c r="D23" s="7" t="s">
        <v>33</v>
      </c>
      <c r="E23" s="7" t="s">
        <v>34</v>
      </c>
      <c r="F23" s="8" t="s">
        <v>173</v>
      </c>
      <c r="G23" s="8" t="s">
        <v>174</v>
      </c>
      <c r="H23" s="8" t="s">
        <v>175</v>
      </c>
      <c r="I23" s="8"/>
      <c r="J23" s="7" t="s">
        <v>50</v>
      </c>
      <c r="K23" s="7" t="s">
        <v>51</v>
      </c>
      <c r="L23" s="14" t="s">
        <v>176</v>
      </c>
      <c r="M23" s="8"/>
      <c r="N23" s="8"/>
      <c r="O23" s="8"/>
      <c r="P23" s="8"/>
      <c r="Q23" s="7"/>
      <c r="R23" s="7"/>
      <c r="S23" s="7"/>
      <c r="T23" s="14"/>
      <c r="U23" s="7"/>
      <c r="V23" s="7"/>
    </row>
    <row r="24" spans="1:22" ht="15" customHeight="1">
      <c r="A24" s="92" t="s">
        <v>56</v>
      </c>
      <c r="B24" s="10">
        <v>7</v>
      </c>
      <c r="C24" s="15" t="s">
        <v>177</v>
      </c>
      <c r="D24" s="10" t="s">
        <v>33</v>
      </c>
      <c r="E24" s="10" t="s">
        <v>34</v>
      </c>
      <c r="F24" s="14" t="s">
        <v>136</v>
      </c>
      <c r="G24" s="14" t="s">
        <v>178</v>
      </c>
      <c r="H24" s="14" t="s">
        <v>179</v>
      </c>
      <c r="I24" s="14" t="s">
        <v>180</v>
      </c>
      <c r="J24" s="10" t="s">
        <v>50</v>
      </c>
      <c r="K24" s="10" t="s">
        <v>50</v>
      </c>
      <c r="L24" s="14" t="s">
        <v>40</v>
      </c>
      <c r="M24" s="14" t="s">
        <v>52</v>
      </c>
      <c r="N24" s="14" t="s">
        <v>181</v>
      </c>
      <c r="O24" s="14" t="s">
        <v>182</v>
      </c>
      <c r="P24" s="14" t="s">
        <v>165</v>
      </c>
      <c r="Q24" s="10"/>
      <c r="R24" s="10"/>
      <c r="S24" s="10" t="s">
        <v>69</v>
      </c>
      <c r="T24" s="14"/>
      <c r="U24" s="10"/>
      <c r="V24" s="10"/>
    </row>
    <row r="25" spans="1:22" ht="15" customHeight="1">
      <c r="A25" s="92" t="s">
        <v>56</v>
      </c>
      <c r="B25" s="10">
        <v>73</v>
      </c>
      <c r="C25" s="15" t="s">
        <v>183</v>
      </c>
      <c r="D25" s="10" t="s">
        <v>33</v>
      </c>
      <c r="E25" s="10" t="s">
        <v>34</v>
      </c>
      <c r="F25" s="81"/>
      <c r="G25" s="14" t="s">
        <v>184</v>
      </c>
      <c r="H25" s="14" t="s">
        <v>185</v>
      </c>
      <c r="I25" s="14"/>
      <c r="J25" s="10" t="s">
        <v>50</v>
      </c>
      <c r="K25" s="10" t="s">
        <v>50</v>
      </c>
      <c r="L25" s="14" t="s">
        <v>186</v>
      </c>
      <c r="M25" s="14"/>
      <c r="N25" s="14"/>
      <c r="O25" s="14"/>
      <c r="P25" s="14"/>
      <c r="Q25" s="10"/>
      <c r="R25" s="7"/>
      <c r="S25" s="7"/>
      <c r="T25" s="14"/>
      <c r="U25" s="10"/>
      <c r="V25" s="10"/>
    </row>
    <row r="26" spans="1:22" ht="15" customHeight="1">
      <c r="B26" s="10">
        <v>20</v>
      </c>
      <c r="C26" s="15" t="s">
        <v>187</v>
      </c>
      <c r="D26" s="10" t="s">
        <v>33</v>
      </c>
      <c r="E26" s="10" t="s">
        <v>116</v>
      </c>
      <c r="F26" s="14" t="s">
        <v>117</v>
      </c>
      <c r="G26" s="14" t="s">
        <v>117</v>
      </c>
      <c r="H26" s="14" t="s">
        <v>188</v>
      </c>
      <c r="I26" s="14" t="s">
        <v>119</v>
      </c>
      <c r="J26" s="10" t="s">
        <v>50</v>
      </c>
      <c r="K26" s="10" t="s">
        <v>39</v>
      </c>
      <c r="L26" s="10"/>
      <c r="M26" s="14" t="s">
        <v>52</v>
      </c>
      <c r="N26" s="14" t="s">
        <v>164</v>
      </c>
      <c r="O26" s="14" t="s">
        <v>189</v>
      </c>
      <c r="P26" s="14" t="s">
        <v>43</v>
      </c>
      <c r="Q26" s="10"/>
      <c r="R26" s="10"/>
      <c r="S26" s="10" t="s">
        <v>190</v>
      </c>
      <c r="T26" s="14" t="s">
        <v>122</v>
      </c>
      <c r="U26" s="10" t="s">
        <v>191</v>
      </c>
      <c r="V26" s="10" t="s">
        <v>192</v>
      </c>
    </row>
    <row r="27" spans="1:22" ht="15" customHeight="1">
      <c r="B27" s="10">
        <v>88</v>
      </c>
      <c r="C27" s="15" t="s">
        <v>193</v>
      </c>
      <c r="D27" s="10" t="s">
        <v>33</v>
      </c>
      <c r="E27" s="10" t="s">
        <v>34</v>
      </c>
      <c r="F27" s="14" t="s">
        <v>194</v>
      </c>
      <c r="G27" s="14" t="s">
        <v>195</v>
      </c>
      <c r="H27" s="14" t="s">
        <v>196</v>
      </c>
      <c r="I27" s="14"/>
      <c r="J27" s="7" t="s">
        <v>50</v>
      </c>
      <c r="K27" s="10"/>
      <c r="L27" s="14" t="s">
        <v>197</v>
      </c>
      <c r="M27" s="14"/>
      <c r="N27" s="14"/>
      <c r="O27" s="14"/>
      <c r="P27" s="14"/>
      <c r="Q27" s="10"/>
      <c r="R27" s="7"/>
      <c r="S27" s="7"/>
      <c r="T27" s="14"/>
      <c r="U27" s="10"/>
      <c r="V27" s="10"/>
    </row>
    <row r="28" spans="1:22" ht="15" customHeight="1">
      <c r="A28" s="92" t="s">
        <v>56</v>
      </c>
      <c r="B28" s="10">
        <v>81</v>
      </c>
      <c r="C28" s="15" t="s">
        <v>198</v>
      </c>
      <c r="D28" s="10" t="s">
        <v>58</v>
      </c>
      <c r="E28" s="10" t="s">
        <v>34</v>
      </c>
      <c r="F28" s="14" t="s">
        <v>199</v>
      </c>
      <c r="G28" s="14" t="s">
        <v>200</v>
      </c>
      <c r="H28" s="14" t="s">
        <v>201</v>
      </c>
      <c r="I28" s="14"/>
      <c r="J28" s="10" t="s">
        <v>50</v>
      </c>
      <c r="K28" s="10" t="s">
        <v>50</v>
      </c>
      <c r="L28" s="14" t="s">
        <v>202</v>
      </c>
      <c r="M28" s="14"/>
      <c r="N28" s="14"/>
      <c r="O28" s="14"/>
      <c r="P28" s="14"/>
      <c r="Q28" s="10"/>
      <c r="R28" s="7"/>
      <c r="S28" s="7"/>
      <c r="T28" s="14"/>
      <c r="U28" s="10"/>
      <c r="V28" s="10"/>
    </row>
    <row r="29" spans="1:22" ht="15" customHeight="1">
      <c r="B29" s="10">
        <v>17</v>
      </c>
      <c r="C29" s="15" t="s">
        <v>203</v>
      </c>
      <c r="D29" s="10" t="s">
        <v>33</v>
      </c>
      <c r="E29" s="10" t="s">
        <v>116</v>
      </c>
      <c r="F29" s="14" t="s">
        <v>117</v>
      </c>
      <c r="G29" s="14" t="s">
        <v>117</v>
      </c>
      <c r="H29" s="14" t="s">
        <v>188</v>
      </c>
      <c r="I29" s="14" t="s">
        <v>119</v>
      </c>
      <c r="J29" s="10" t="s">
        <v>50</v>
      </c>
      <c r="K29" s="10" t="s">
        <v>39</v>
      </c>
      <c r="L29" s="10"/>
      <c r="M29" s="14" t="s">
        <v>52</v>
      </c>
      <c r="N29" s="14" t="s">
        <v>141</v>
      </c>
      <c r="O29" s="14" t="s">
        <v>204</v>
      </c>
      <c r="P29" s="14" t="s">
        <v>43</v>
      </c>
      <c r="Q29" s="10"/>
      <c r="R29" s="10"/>
      <c r="S29" s="10" t="s">
        <v>205</v>
      </c>
      <c r="T29" s="14" t="s">
        <v>122</v>
      </c>
      <c r="U29" s="10" t="s">
        <v>191</v>
      </c>
      <c r="V29" s="10" t="s">
        <v>192</v>
      </c>
    </row>
    <row r="30" spans="1:22" ht="15" customHeight="1">
      <c r="A30" s="92" t="s">
        <v>56</v>
      </c>
      <c r="B30" s="10">
        <v>62</v>
      </c>
      <c r="C30" s="15" t="s">
        <v>206</v>
      </c>
      <c r="D30" s="10" t="s">
        <v>58</v>
      </c>
      <c r="E30" s="10"/>
      <c r="F30" s="14" t="s">
        <v>117</v>
      </c>
      <c r="G30" s="14" t="s">
        <v>207</v>
      </c>
      <c r="H30" s="14" t="s">
        <v>208</v>
      </c>
      <c r="I30" s="14" t="s">
        <v>209</v>
      </c>
      <c r="J30" s="10" t="s">
        <v>50</v>
      </c>
      <c r="K30" s="10" t="s">
        <v>50</v>
      </c>
      <c r="L30" s="14" t="s">
        <v>210</v>
      </c>
      <c r="M30" s="14" t="s">
        <v>52</v>
      </c>
      <c r="N30" s="14" t="s">
        <v>65</v>
      </c>
      <c r="O30" s="14"/>
      <c r="P30" s="14" t="s">
        <v>43</v>
      </c>
      <c r="Q30" s="10"/>
      <c r="R30" s="10"/>
      <c r="S30" s="10"/>
      <c r="T30" s="14"/>
      <c r="U30" s="10"/>
      <c r="V30" s="10"/>
    </row>
    <row r="31" spans="1:22" ht="15" customHeight="1">
      <c r="A31" s="92" t="s">
        <v>56</v>
      </c>
      <c r="B31" s="10">
        <v>10</v>
      </c>
      <c r="C31" s="15" t="s">
        <v>211</v>
      </c>
      <c r="D31" s="10" t="s">
        <v>58</v>
      </c>
      <c r="E31" s="10" t="s">
        <v>34</v>
      </c>
      <c r="F31" s="14" t="s">
        <v>136</v>
      </c>
      <c r="G31" s="14" t="s">
        <v>212</v>
      </c>
      <c r="H31" s="14" t="s">
        <v>213</v>
      </c>
      <c r="I31" s="14" t="s">
        <v>214</v>
      </c>
      <c r="J31" s="10" t="s">
        <v>50</v>
      </c>
      <c r="K31" s="10" t="s">
        <v>50</v>
      </c>
      <c r="L31" s="14" t="s">
        <v>215</v>
      </c>
      <c r="M31" s="14" t="s">
        <v>52</v>
      </c>
      <c r="N31" s="14" t="s">
        <v>141</v>
      </c>
      <c r="O31" s="14" t="s">
        <v>216</v>
      </c>
      <c r="P31" s="78" t="s">
        <v>43</v>
      </c>
      <c r="Q31" s="10"/>
      <c r="R31" s="10"/>
      <c r="S31" s="10"/>
      <c r="T31" s="14"/>
      <c r="U31" s="10"/>
      <c r="V31" s="10"/>
    </row>
    <row r="32" spans="1:22" s="6" customFormat="1" ht="15" customHeight="1">
      <c r="A32" s="92"/>
      <c r="B32" s="10">
        <v>39</v>
      </c>
      <c r="C32" s="16" t="s">
        <v>217</v>
      </c>
      <c r="D32" s="10" t="s">
        <v>33</v>
      </c>
      <c r="E32" s="7" t="s">
        <v>34</v>
      </c>
      <c r="F32" s="8" t="s">
        <v>218</v>
      </c>
      <c r="G32" s="8" t="s">
        <v>219</v>
      </c>
      <c r="H32" s="8" t="s">
        <v>220</v>
      </c>
      <c r="I32" s="8" t="s">
        <v>221</v>
      </c>
      <c r="J32" s="7" t="s">
        <v>50</v>
      </c>
      <c r="K32" s="10" t="s">
        <v>39</v>
      </c>
      <c r="L32" s="10"/>
      <c r="M32" s="14" t="s">
        <v>41</v>
      </c>
      <c r="N32" s="14" t="s">
        <v>42</v>
      </c>
      <c r="O32" s="8" t="s">
        <v>222</v>
      </c>
      <c r="P32" s="14" t="s">
        <v>43</v>
      </c>
      <c r="Q32" s="10"/>
      <c r="R32" s="27"/>
      <c r="S32" s="27"/>
      <c r="T32" s="14"/>
      <c r="U32" s="7"/>
      <c r="V32" s="7"/>
    </row>
    <row r="33" spans="1:22" s="6" customFormat="1" ht="15" customHeight="1">
      <c r="A33" s="92"/>
      <c r="B33" s="10">
        <v>37</v>
      </c>
      <c r="C33" s="16" t="s">
        <v>223</v>
      </c>
      <c r="D33" s="10" t="s">
        <v>33</v>
      </c>
      <c r="E33" s="7" t="s">
        <v>34</v>
      </c>
      <c r="F33" s="8" t="s">
        <v>74</v>
      </c>
      <c r="G33" s="8" t="s">
        <v>224</v>
      </c>
      <c r="H33" s="8" t="s">
        <v>225</v>
      </c>
      <c r="I33" s="8" t="s">
        <v>226</v>
      </c>
      <c r="J33" s="7" t="s">
        <v>39</v>
      </c>
      <c r="K33" s="7" t="s">
        <v>39</v>
      </c>
      <c r="L33" s="14" t="s">
        <v>40</v>
      </c>
      <c r="M33" s="14" t="s">
        <v>41</v>
      </c>
      <c r="N33" s="14" t="s">
        <v>42</v>
      </c>
      <c r="O33" s="8"/>
      <c r="P33" s="14" t="s">
        <v>43</v>
      </c>
      <c r="Q33" s="10"/>
      <c r="R33" s="10"/>
      <c r="S33" s="10"/>
      <c r="T33" s="14"/>
      <c r="U33" s="7"/>
      <c r="V33" s="7"/>
    </row>
    <row r="34" spans="1:22" s="6" customFormat="1" ht="15" customHeight="1">
      <c r="A34" s="92" t="s">
        <v>56</v>
      </c>
      <c r="B34" s="10">
        <v>15</v>
      </c>
      <c r="C34" s="45" t="s">
        <v>227</v>
      </c>
      <c r="D34" s="10" t="s">
        <v>58</v>
      </c>
      <c r="E34" s="10" t="s">
        <v>34</v>
      </c>
      <c r="F34" s="14" t="s">
        <v>194</v>
      </c>
      <c r="G34" s="14" t="s">
        <v>228</v>
      </c>
      <c r="H34" s="14" t="s">
        <v>229</v>
      </c>
      <c r="I34" s="14" t="s">
        <v>230</v>
      </c>
      <c r="J34" s="10" t="s">
        <v>50</v>
      </c>
      <c r="K34" s="10" t="s">
        <v>39</v>
      </c>
      <c r="L34" s="10"/>
      <c r="M34" s="14" t="s">
        <v>41</v>
      </c>
      <c r="N34" s="14" t="s">
        <v>65</v>
      </c>
      <c r="O34" s="14"/>
      <c r="P34" s="14" t="s">
        <v>43</v>
      </c>
      <c r="Q34" s="10"/>
      <c r="R34" s="10"/>
      <c r="S34" s="10"/>
      <c r="T34" s="14"/>
      <c r="U34" s="10"/>
      <c r="V34" s="10"/>
    </row>
    <row r="35" spans="1:22" s="6" customFormat="1" ht="15" customHeight="1">
      <c r="A35" s="92" t="s">
        <v>56</v>
      </c>
      <c r="B35" s="10">
        <v>55</v>
      </c>
      <c r="C35" s="45" t="s">
        <v>231</v>
      </c>
      <c r="D35" s="10" t="s">
        <v>33</v>
      </c>
      <c r="E35" s="10" t="s">
        <v>34</v>
      </c>
      <c r="F35" s="14" t="s">
        <v>136</v>
      </c>
      <c r="G35" s="80" t="s">
        <v>232</v>
      </c>
      <c r="H35" s="14" t="s">
        <v>233</v>
      </c>
      <c r="I35" s="14" t="s">
        <v>234</v>
      </c>
      <c r="J35" s="10" t="s">
        <v>50</v>
      </c>
      <c r="K35" s="10" t="s">
        <v>50</v>
      </c>
      <c r="L35" s="14"/>
      <c r="M35" s="14" t="s">
        <v>140</v>
      </c>
      <c r="N35" s="14" t="s">
        <v>141</v>
      </c>
      <c r="O35" s="14"/>
      <c r="P35" s="14" t="s">
        <v>43</v>
      </c>
      <c r="Q35" s="10"/>
      <c r="R35" s="10"/>
      <c r="S35" s="10"/>
      <c r="T35" s="14"/>
      <c r="U35" s="10"/>
      <c r="V35" s="10"/>
    </row>
    <row r="36" spans="1:22" s="6" customFormat="1" ht="15" customHeight="1">
      <c r="A36" s="92" t="s">
        <v>56</v>
      </c>
      <c r="B36" s="10">
        <v>83</v>
      </c>
      <c r="C36" s="45" t="s">
        <v>235</v>
      </c>
      <c r="D36" s="10" t="s">
        <v>58</v>
      </c>
      <c r="E36" s="10" t="s">
        <v>34</v>
      </c>
      <c r="F36" s="14" t="s">
        <v>136</v>
      </c>
      <c r="G36" s="14" t="s">
        <v>236</v>
      </c>
      <c r="H36" s="14" t="s">
        <v>237</v>
      </c>
      <c r="I36" s="14"/>
      <c r="J36" s="10" t="s">
        <v>50</v>
      </c>
      <c r="K36" s="10" t="s">
        <v>50</v>
      </c>
      <c r="L36" s="14" t="s">
        <v>238</v>
      </c>
      <c r="M36" s="14"/>
      <c r="N36" s="14"/>
      <c r="O36" s="14"/>
      <c r="P36" s="14"/>
      <c r="Q36" s="10"/>
      <c r="R36" s="7"/>
      <c r="S36" s="7"/>
      <c r="T36" s="14"/>
      <c r="U36" s="10"/>
      <c r="V36" s="10"/>
    </row>
    <row r="37" spans="1:22" ht="15" customHeight="1">
      <c r="A37" s="92" t="s">
        <v>56</v>
      </c>
      <c r="B37" s="10">
        <v>13</v>
      </c>
      <c r="C37" s="45" t="s">
        <v>239</v>
      </c>
      <c r="D37" s="10" t="s">
        <v>58</v>
      </c>
      <c r="E37" s="10" t="s">
        <v>116</v>
      </c>
      <c r="F37" s="14" t="s">
        <v>74</v>
      </c>
      <c r="G37" s="14" t="s">
        <v>240</v>
      </c>
      <c r="H37" s="14" t="s">
        <v>241</v>
      </c>
      <c r="I37" s="14" t="s">
        <v>119</v>
      </c>
      <c r="J37" s="10" t="s">
        <v>50</v>
      </c>
      <c r="K37" s="10" t="s">
        <v>39</v>
      </c>
      <c r="L37" s="10"/>
      <c r="M37" s="14" t="s">
        <v>134</v>
      </c>
      <c r="N37" s="14" t="s">
        <v>65</v>
      </c>
      <c r="O37" s="14" t="s">
        <v>242</v>
      </c>
      <c r="P37" s="34" t="s">
        <v>43</v>
      </c>
      <c r="Q37" s="10"/>
      <c r="R37" s="10"/>
      <c r="S37" s="10"/>
      <c r="T37" s="14"/>
      <c r="U37" s="10"/>
      <c r="V37" s="10"/>
    </row>
    <row r="38" spans="1:22" ht="15" customHeight="1">
      <c r="A38" s="92" t="s">
        <v>56</v>
      </c>
      <c r="B38" s="10">
        <v>45</v>
      </c>
      <c r="C38" s="17" t="s">
        <v>243</v>
      </c>
      <c r="D38" s="10" t="s">
        <v>58</v>
      </c>
      <c r="E38" s="7" t="s">
        <v>34</v>
      </c>
      <c r="F38" s="8" t="s">
        <v>160</v>
      </c>
      <c r="G38" s="8" t="s">
        <v>244</v>
      </c>
      <c r="H38" s="8" t="s">
        <v>245</v>
      </c>
      <c r="I38" s="8" t="s">
        <v>246</v>
      </c>
      <c r="J38" s="7" t="s">
        <v>50</v>
      </c>
      <c r="K38" s="10" t="s">
        <v>39</v>
      </c>
      <c r="L38" s="10"/>
      <c r="M38" s="14" t="s">
        <v>140</v>
      </c>
      <c r="N38" s="14" t="s">
        <v>141</v>
      </c>
      <c r="O38" s="8"/>
      <c r="P38" s="14" t="s">
        <v>43</v>
      </c>
      <c r="Q38" s="10"/>
      <c r="R38" s="10"/>
      <c r="S38" s="10"/>
      <c r="T38" s="14"/>
      <c r="U38" s="7"/>
      <c r="V38" s="7"/>
    </row>
    <row r="39" spans="1:22" s="6" customFormat="1" ht="15" customHeight="1">
      <c r="A39" s="92" t="s">
        <v>56</v>
      </c>
      <c r="B39" s="10">
        <v>87</v>
      </c>
      <c r="C39" s="123" t="s">
        <v>247</v>
      </c>
      <c r="D39" s="10"/>
      <c r="E39" s="7" t="s">
        <v>34</v>
      </c>
      <c r="F39" s="14"/>
      <c r="G39" s="14"/>
      <c r="H39" s="82" t="s">
        <v>248</v>
      </c>
      <c r="I39" s="14"/>
      <c r="J39" s="7" t="s">
        <v>50</v>
      </c>
      <c r="K39" s="7" t="s">
        <v>50</v>
      </c>
      <c r="L39" s="14" t="s">
        <v>40</v>
      </c>
      <c r="M39" s="14"/>
      <c r="N39" s="14"/>
      <c r="O39" s="14"/>
      <c r="P39" s="14"/>
      <c r="Q39" s="10"/>
      <c r="R39" s="7"/>
      <c r="S39" s="7"/>
      <c r="T39" s="14"/>
      <c r="U39" s="10"/>
      <c r="V39" s="10"/>
    </row>
    <row r="40" spans="1:22" s="6" customFormat="1" ht="15" customHeight="1">
      <c r="A40" s="92"/>
      <c r="B40" s="10">
        <v>57</v>
      </c>
      <c r="C40" s="16" t="s">
        <v>249</v>
      </c>
      <c r="D40" s="7" t="s">
        <v>33</v>
      </c>
      <c r="E40" s="7"/>
      <c r="F40" s="8" t="s">
        <v>74</v>
      </c>
      <c r="G40" s="8" t="s">
        <v>250</v>
      </c>
      <c r="H40" s="8" t="s">
        <v>251</v>
      </c>
      <c r="I40" s="8" t="s">
        <v>95</v>
      </c>
      <c r="J40" s="7" t="s">
        <v>39</v>
      </c>
      <c r="K40" s="7" t="s">
        <v>39</v>
      </c>
      <c r="L40" s="7"/>
      <c r="M40" s="14" t="s">
        <v>41</v>
      </c>
      <c r="N40" s="14" t="s">
        <v>111</v>
      </c>
      <c r="O40" s="8"/>
      <c r="P40" s="8"/>
      <c r="Q40" s="10"/>
      <c r="R40" s="10"/>
      <c r="S40" s="10"/>
      <c r="T40" s="14"/>
      <c r="U40" s="7"/>
      <c r="V40" s="7"/>
    </row>
    <row r="41" spans="1:22" s="6" customFormat="1" ht="15" customHeight="1">
      <c r="A41" s="92" t="s">
        <v>56</v>
      </c>
      <c r="B41" s="10">
        <v>68</v>
      </c>
      <c r="C41" s="45" t="s">
        <v>252</v>
      </c>
      <c r="D41" s="10" t="s">
        <v>58</v>
      </c>
      <c r="E41" s="10" t="s">
        <v>253</v>
      </c>
      <c r="F41" s="81" t="s">
        <v>117</v>
      </c>
      <c r="G41" s="14" t="s">
        <v>254</v>
      </c>
      <c r="H41" s="14" t="s">
        <v>255</v>
      </c>
      <c r="I41" s="14"/>
      <c r="J41" s="10" t="s">
        <v>50</v>
      </c>
      <c r="K41" s="10" t="s">
        <v>50</v>
      </c>
      <c r="L41" s="14" t="s">
        <v>78</v>
      </c>
      <c r="M41" s="14"/>
      <c r="N41" s="14"/>
      <c r="O41" s="14"/>
      <c r="P41" s="14"/>
      <c r="Q41" s="10"/>
      <c r="R41" s="7"/>
      <c r="S41" s="7"/>
      <c r="T41" s="14"/>
      <c r="U41" s="10"/>
      <c r="V41" s="10"/>
    </row>
    <row r="42" spans="1:22" s="6" customFormat="1" ht="15" customHeight="1">
      <c r="A42" s="92" t="s">
        <v>56</v>
      </c>
      <c r="B42" s="10">
        <v>61</v>
      </c>
      <c r="C42" s="17" t="s">
        <v>256</v>
      </c>
      <c r="D42" s="10" t="s">
        <v>58</v>
      </c>
      <c r="E42" s="10"/>
      <c r="F42" s="14" t="s">
        <v>106</v>
      </c>
      <c r="G42" s="14" t="s">
        <v>257</v>
      </c>
      <c r="H42" s="14" t="s">
        <v>258</v>
      </c>
      <c r="I42" s="14" t="s">
        <v>95</v>
      </c>
      <c r="J42" s="10" t="s">
        <v>50</v>
      </c>
      <c r="K42" s="10" t="s">
        <v>50</v>
      </c>
      <c r="L42" s="14" t="s">
        <v>259</v>
      </c>
      <c r="M42" s="14" t="s">
        <v>134</v>
      </c>
      <c r="N42" s="14" t="s">
        <v>53</v>
      </c>
      <c r="O42" s="14"/>
      <c r="P42" s="14"/>
      <c r="Q42" s="10"/>
      <c r="R42" s="10"/>
      <c r="S42" s="10"/>
      <c r="T42" s="14"/>
      <c r="U42" s="10"/>
      <c r="V42" s="10"/>
    </row>
    <row r="43" spans="1:22" s="6" customFormat="1" ht="15" customHeight="1">
      <c r="A43" s="92"/>
      <c r="B43" s="10">
        <v>64</v>
      </c>
      <c r="C43" s="45" t="s">
        <v>260</v>
      </c>
      <c r="D43" s="10" t="s">
        <v>33</v>
      </c>
      <c r="E43" s="9" t="s">
        <v>116</v>
      </c>
      <c r="F43" s="14" t="s">
        <v>117</v>
      </c>
      <c r="G43" s="14" t="s">
        <v>117</v>
      </c>
      <c r="H43" s="14" t="s">
        <v>118</v>
      </c>
      <c r="I43" s="14" t="s">
        <v>119</v>
      </c>
      <c r="J43" s="10" t="s">
        <v>39</v>
      </c>
      <c r="K43" s="10" t="s">
        <v>39</v>
      </c>
      <c r="L43" s="10"/>
      <c r="M43" s="14" t="s">
        <v>41</v>
      </c>
      <c r="N43" s="14" t="s">
        <v>120</v>
      </c>
      <c r="O43" s="14" t="s">
        <v>261</v>
      </c>
      <c r="P43" s="14" t="s">
        <v>43</v>
      </c>
      <c r="Q43" s="10"/>
      <c r="R43" s="10"/>
      <c r="S43" s="10"/>
      <c r="T43" s="14" t="s">
        <v>122</v>
      </c>
      <c r="U43" s="10" t="s">
        <v>124</v>
      </c>
      <c r="V43" s="10" t="s">
        <v>124</v>
      </c>
    </row>
    <row r="44" spans="1:22" s="6" customFormat="1" ht="15" customHeight="1">
      <c r="A44" s="92"/>
      <c r="B44" s="10">
        <v>22</v>
      </c>
      <c r="C44" s="45" t="s">
        <v>262</v>
      </c>
      <c r="D44" s="10" t="s">
        <v>58</v>
      </c>
      <c r="E44" s="10" t="s">
        <v>34</v>
      </c>
      <c r="F44" s="14" t="s">
        <v>263</v>
      </c>
      <c r="G44" s="14" t="s">
        <v>264</v>
      </c>
      <c r="H44" s="14" t="s">
        <v>265</v>
      </c>
      <c r="I44" s="14" t="s">
        <v>119</v>
      </c>
      <c r="J44" s="10" t="s">
        <v>50</v>
      </c>
      <c r="K44" s="10" t="s">
        <v>39</v>
      </c>
      <c r="L44" s="10"/>
      <c r="M44" s="14" t="s">
        <v>41</v>
      </c>
      <c r="N44" s="14" t="s">
        <v>111</v>
      </c>
      <c r="O44" s="14" t="s">
        <v>42</v>
      </c>
      <c r="P44" s="14" t="s">
        <v>43</v>
      </c>
      <c r="Q44" s="10"/>
      <c r="R44" s="10"/>
      <c r="S44" s="10"/>
      <c r="T44" s="14" t="s">
        <v>122</v>
      </c>
      <c r="U44" s="10" t="s">
        <v>191</v>
      </c>
      <c r="V44" s="10" t="s">
        <v>192</v>
      </c>
    </row>
    <row r="45" spans="1:22" s="6" customFormat="1" ht="15" customHeight="1">
      <c r="A45" s="92" t="s">
        <v>56</v>
      </c>
      <c r="B45" s="10">
        <v>52</v>
      </c>
      <c r="C45" s="45" t="s">
        <v>266</v>
      </c>
      <c r="D45" s="10" t="s">
        <v>33</v>
      </c>
      <c r="E45" s="10"/>
      <c r="F45" s="14" t="s">
        <v>136</v>
      </c>
      <c r="G45" s="14" t="s">
        <v>267</v>
      </c>
      <c r="H45" s="14" t="s">
        <v>268</v>
      </c>
      <c r="I45" s="14" t="s">
        <v>269</v>
      </c>
      <c r="J45" s="10" t="s">
        <v>50</v>
      </c>
      <c r="K45" s="10" t="s">
        <v>50</v>
      </c>
      <c r="L45" s="14" t="s">
        <v>270</v>
      </c>
      <c r="M45" s="14" t="s">
        <v>140</v>
      </c>
      <c r="N45" s="14" t="s">
        <v>141</v>
      </c>
      <c r="O45" s="14"/>
      <c r="P45" s="14" t="s">
        <v>43</v>
      </c>
      <c r="Q45" s="10"/>
      <c r="R45" s="10"/>
      <c r="S45" s="10"/>
      <c r="T45" s="14"/>
      <c r="U45" s="10"/>
      <c r="V45" s="10"/>
    </row>
    <row r="46" spans="1:22" ht="15" customHeight="1">
      <c r="A46" s="92" t="s">
        <v>56</v>
      </c>
      <c r="B46" s="10">
        <v>50</v>
      </c>
      <c r="C46" s="86" t="s">
        <v>271</v>
      </c>
      <c r="D46" s="7" t="s">
        <v>33</v>
      </c>
      <c r="E46" s="7"/>
      <c r="F46" s="8" t="s">
        <v>263</v>
      </c>
      <c r="G46" s="71" t="s">
        <v>272</v>
      </c>
      <c r="H46" s="8" t="s">
        <v>273</v>
      </c>
      <c r="I46" s="8" t="s">
        <v>274</v>
      </c>
      <c r="J46" s="7" t="s">
        <v>50</v>
      </c>
      <c r="K46" s="7" t="s">
        <v>39</v>
      </c>
      <c r="L46" s="7"/>
      <c r="M46" s="14" t="s">
        <v>52</v>
      </c>
      <c r="N46" s="14" t="s">
        <v>164</v>
      </c>
      <c r="O46" s="8"/>
      <c r="P46" s="8" t="s">
        <v>43</v>
      </c>
      <c r="Q46" s="10"/>
      <c r="R46" s="10"/>
      <c r="S46" s="10"/>
      <c r="T46" s="14"/>
      <c r="U46" s="7"/>
      <c r="V46" s="7"/>
    </row>
    <row r="47" spans="1:22" ht="15" customHeight="1">
      <c r="A47" s="92" t="s">
        <v>56</v>
      </c>
      <c r="B47" s="10">
        <v>44</v>
      </c>
      <c r="C47" s="17" t="s">
        <v>275</v>
      </c>
      <c r="D47" s="10" t="s">
        <v>58</v>
      </c>
      <c r="E47" s="10"/>
      <c r="F47" s="14" t="s">
        <v>136</v>
      </c>
      <c r="G47" s="14" t="s">
        <v>276</v>
      </c>
      <c r="H47" s="14" t="s">
        <v>277</v>
      </c>
      <c r="I47" s="14" t="s">
        <v>278</v>
      </c>
      <c r="J47" s="10" t="s">
        <v>50</v>
      </c>
      <c r="K47" s="10" t="s">
        <v>50</v>
      </c>
      <c r="L47" s="14" t="s">
        <v>279</v>
      </c>
      <c r="M47" s="14" t="s">
        <v>52</v>
      </c>
      <c r="N47" s="14" t="s">
        <v>164</v>
      </c>
      <c r="O47" s="14"/>
      <c r="P47" s="14" t="s">
        <v>43</v>
      </c>
      <c r="Q47" s="10"/>
      <c r="R47" s="10"/>
      <c r="S47" s="10"/>
      <c r="T47" s="14"/>
      <c r="U47" s="10"/>
      <c r="V47" s="10"/>
    </row>
    <row r="48" spans="1:22" s="6" customFormat="1" ht="15" customHeight="1">
      <c r="A48" s="92" t="s">
        <v>56</v>
      </c>
      <c r="B48" s="10">
        <v>82</v>
      </c>
      <c r="C48" s="45" t="s">
        <v>280</v>
      </c>
      <c r="D48" s="10" t="s">
        <v>58</v>
      </c>
      <c r="E48" s="10" t="s">
        <v>34</v>
      </c>
      <c r="F48" s="14" t="s">
        <v>136</v>
      </c>
      <c r="G48" s="14" t="s">
        <v>281</v>
      </c>
      <c r="H48" s="14" t="s">
        <v>282</v>
      </c>
      <c r="I48" s="14"/>
      <c r="J48" s="10" t="s">
        <v>50</v>
      </c>
      <c r="K48" s="10" t="s">
        <v>50</v>
      </c>
      <c r="L48" s="14" t="s">
        <v>238</v>
      </c>
      <c r="M48" s="14"/>
      <c r="N48" s="14"/>
      <c r="O48" s="14"/>
      <c r="P48" s="14"/>
      <c r="Q48" s="10"/>
      <c r="R48" s="7"/>
      <c r="S48" s="7"/>
      <c r="T48" s="14"/>
      <c r="U48" s="10"/>
      <c r="V48" s="10"/>
    </row>
    <row r="49" spans="1:22" s="6" customFormat="1" ht="15" customHeight="1">
      <c r="A49" s="92"/>
      <c r="B49" s="10">
        <v>42</v>
      </c>
      <c r="C49" s="17" t="s">
        <v>283</v>
      </c>
      <c r="D49" s="10" t="s">
        <v>33</v>
      </c>
      <c r="E49" s="7" t="s">
        <v>34</v>
      </c>
      <c r="F49" s="8" t="s">
        <v>35</v>
      </c>
      <c r="G49" s="8" t="s">
        <v>284</v>
      </c>
      <c r="H49" s="8" t="s">
        <v>285</v>
      </c>
      <c r="I49" s="8" t="s">
        <v>286</v>
      </c>
      <c r="J49" s="7" t="s">
        <v>39</v>
      </c>
      <c r="K49" s="10" t="s">
        <v>39</v>
      </c>
      <c r="L49" s="10"/>
      <c r="M49" s="14" t="s">
        <v>52</v>
      </c>
      <c r="N49" s="14" t="s">
        <v>141</v>
      </c>
      <c r="O49" s="8" t="s">
        <v>287</v>
      </c>
      <c r="P49" s="14" t="s">
        <v>43</v>
      </c>
      <c r="Q49" s="10"/>
      <c r="R49" s="10"/>
      <c r="S49" s="10"/>
      <c r="T49" s="14"/>
      <c r="U49" s="7"/>
      <c r="V49" s="7"/>
    </row>
    <row r="50" spans="1:22" ht="15" customHeight="1">
      <c r="B50" s="10">
        <v>11</v>
      </c>
      <c r="C50" s="45" t="s">
        <v>288</v>
      </c>
      <c r="D50" s="10" t="s">
        <v>33</v>
      </c>
      <c r="E50" s="10" t="s">
        <v>116</v>
      </c>
      <c r="F50" s="14" t="s">
        <v>74</v>
      </c>
      <c r="G50" s="14" t="s">
        <v>289</v>
      </c>
      <c r="H50" s="14" t="s">
        <v>290</v>
      </c>
      <c r="I50" s="14" t="s">
        <v>291</v>
      </c>
      <c r="J50" s="10" t="s">
        <v>39</v>
      </c>
      <c r="K50" s="10" t="s">
        <v>39</v>
      </c>
      <c r="L50" s="10"/>
      <c r="M50" s="14" t="s">
        <v>41</v>
      </c>
      <c r="N50" s="14" t="s">
        <v>120</v>
      </c>
      <c r="O50" s="14" t="s">
        <v>292</v>
      </c>
      <c r="P50" s="14" t="s">
        <v>292</v>
      </c>
      <c r="Q50" s="10"/>
      <c r="R50" s="10"/>
      <c r="S50" s="10"/>
      <c r="T50" s="14"/>
      <c r="U50" s="10"/>
      <c r="V50" s="10"/>
    </row>
    <row r="51" spans="1:22" ht="15" customHeight="1">
      <c r="B51" s="10">
        <v>65</v>
      </c>
      <c r="C51" s="45" t="s">
        <v>293</v>
      </c>
      <c r="D51" s="10" t="s">
        <v>58</v>
      </c>
      <c r="E51" s="10" t="s">
        <v>116</v>
      </c>
      <c r="F51" s="14" t="s">
        <v>117</v>
      </c>
      <c r="G51" s="14" t="s">
        <v>117</v>
      </c>
      <c r="H51" s="14" t="s">
        <v>118</v>
      </c>
      <c r="I51" s="14" t="s">
        <v>119</v>
      </c>
      <c r="J51" s="10" t="s">
        <v>39</v>
      </c>
      <c r="K51" s="10" t="s">
        <v>39</v>
      </c>
      <c r="L51" s="14" t="s">
        <v>78</v>
      </c>
      <c r="M51" s="14" t="s">
        <v>41</v>
      </c>
      <c r="N51" s="14" t="s">
        <v>120</v>
      </c>
      <c r="O51" s="14" t="s">
        <v>261</v>
      </c>
      <c r="P51" s="14" t="s">
        <v>43</v>
      </c>
      <c r="Q51" s="10"/>
      <c r="R51" s="10"/>
      <c r="S51" s="10"/>
      <c r="T51" s="14" t="s">
        <v>122</v>
      </c>
      <c r="U51" s="10" t="s">
        <v>294</v>
      </c>
      <c r="V51" s="10" t="s">
        <v>294</v>
      </c>
    </row>
    <row r="52" spans="1:22" ht="15" customHeight="1">
      <c r="A52" s="92" t="s">
        <v>56</v>
      </c>
      <c r="B52" s="10">
        <v>47</v>
      </c>
      <c r="C52" s="45" t="s">
        <v>295</v>
      </c>
      <c r="D52" s="10" t="s">
        <v>33</v>
      </c>
      <c r="E52" s="10" t="s">
        <v>34</v>
      </c>
      <c r="F52" s="14" t="s">
        <v>296</v>
      </c>
      <c r="G52" s="14" t="s">
        <v>297</v>
      </c>
      <c r="H52" s="14" t="s">
        <v>298</v>
      </c>
      <c r="I52" s="14" t="s">
        <v>274</v>
      </c>
      <c r="J52" s="10" t="s">
        <v>50</v>
      </c>
      <c r="K52" s="10" t="s">
        <v>50</v>
      </c>
      <c r="L52" s="14" t="s">
        <v>279</v>
      </c>
      <c r="M52" s="14" t="s">
        <v>52</v>
      </c>
      <c r="N52" s="14" t="s">
        <v>164</v>
      </c>
      <c r="O52" s="14"/>
      <c r="P52" s="14" t="s">
        <v>43</v>
      </c>
      <c r="Q52" s="10"/>
      <c r="R52" s="10"/>
      <c r="S52" s="10"/>
      <c r="T52" s="14"/>
      <c r="U52" s="10"/>
      <c r="V52" s="10"/>
    </row>
    <row r="53" spans="1:22" s="6" customFormat="1" ht="15" customHeight="1">
      <c r="A53" s="92" t="s">
        <v>56</v>
      </c>
      <c r="B53" s="10">
        <v>48</v>
      </c>
      <c r="C53" s="45" t="s">
        <v>299</v>
      </c>
      <c r="D53" s="10" t="s">
        <v>33</v>
      </c>
      <c r="E53" s="10" t="s">
        <v>34</v>
      </c>
      <c r="F53" s="14" t="s">
        <v>296</v>
      </c>
      <c r="G53" s="14" t="s">
        <v>300</v>
      </c>
      <c r="H53" s="14" t="s">
        <v>301</v>
      </c>
      <c r="I53" s="14" t="s">
        <v>274</v>
      </c>
      <c r="J53" s="10" t="s">
        <v>50</v>
      </c>
      <c r="K53" s="10" t="s">
        <v>50</v>
      </c>
      <c r="L53" s="14" t="s">
        <v>279</v>
      </c>
      <c r="M53" s="14" t="s">
        <v>52</v>
      </c>
      <c r="N53" s="14" t="s">
        <v>164</v>
      </c>
      <c r="O53" s="14"/>
      <c r="P53" s="14" t="s">
        <v>43</v>
      </c>
      <c r="Q53" s="10"/>
      <c r="R53" s="10"/>
      <c r="S53" s="10"/>
      <c r="T53" s="14"/>
      <c r="U53" s="10"/>
      <c r="V53" s="10"/>
    </row>
    <row r="54" spans="1:22" s="6" customFormat="1" ht="15" customHeight="1">
      <c r="A54" s="92"/>
      <c r="B54" s="10">
        <v>30</v>
      </c>
      <c r="C54" s="16" t="s">
        <v>302</v>
      </c>
      <c r="D54" s="10" t="s">
        <v>58</v>
      </c>
      <c r="E54" s="7" t="s">
        <v>34</v>
      </c>
      <c r="F54" s="8" t="s">
        <v>136</v>
      </c>
      <c r="G54" s="8" t="s">
        <v>303</v>
      </c>
      <c r="H54" s="8" t="s">
        <v>304</v>
      </c>
      <c r="I54" s="8" t="s">
        <v>305</v>
      </c>
      <c r="J54" s="7" t="s">
        <v>39</v>
      </c>
      <c r="K54" s="10" t="s">
        <v>39</v>
      </c>
      <c r="L54" s="10"/>
      <c r="M54" s="14" t="s">
        <v>41</v>
      </c>
      <c r="N54" s="14" t="s">
        <v>42</v>
      </c>
      <c r="O54" s="8" t="s">
        <v>150</v>
      </c>
      <c r="P54" s="39" t="s">
        <v>42</v>
      </c>
      <c r="Q54" s="10" t="s">
        <v>44</v>
      </c>
      <c r="R54" s="10"/>
      <c r="S54" s="10"/>
      <c r="T54" s="14"/>
      <c r="U54" s="7" t="s">
        <v>306</v>
      </c>
      <c r="V54" s="7" t="s">
        <v>307</v>
      </c>
    </row>
    <row r="55" spans="1:22" ht="15" customHeight="1">
      <c r="B55" s="10">
        <v>54</v>
      </c>
      <c r="C55" s="16" t="s">
        <v>308</v>
      </c>
      <c r="D55" s="7" t="s">
        <v>33</v>
      </c>
      <c r="E55" s="7"/>
      <c r="F55" s="8" t="s">
        <v>218</v>
      </c>
      <c r="G55" s="71" t="s">
        <v>309</v>
      </c>
      <c r="H55" s="8" t="s">
        <v>310</v>
      </c>
      <c r="I55" s="8" t="s">
        <v>311</v>
      </c>
      <c r="J55" s="7" t="s">
        <v>39</v>
      </c>
      <c r="K55" s="7" t="s">
        <v>39</v>
      </c>
      <c r="L55" s="7"/>
      <c r="M55" s="14" t="s">
        <v>140</v>
      </c>
      <c r="N55" s="14" t="s">
        <v>141</v>
      </c>
      <c r="O55" s="8"/>
      <c r="P55" s="8" t="s">
        <v>43</v>
      </c>
      <c r="Q55" s="10"/>
      <c r="R55" s="10"/>
      <c r="S55" s="10"/>
      <c r="T55" s="14"/>
      <c r="U55" s="7"/>
      <c r="V55" s="7"/>
    </row>
    <row r="56" spans="1:22" ht="15" customHeight="1">
      <c r="A56" s="92" t="s">
        <v>56</v>
      </c>
      <c r="B56" s="10">
        <v>85</v>
      </c>
      <c r="C56" s="45" t="s">
        <v>312</v>
      </c>
      <c r="D56" s="10" t="s">
        <v>33</v>
      </c>
      <c r="E56" s="7" t="s">
        <v>34</v>
      </c>
      <c r="F56" s="14"/>
      <c r="G56" s="14"/>
      <c r="H56" s="14" t="s">
        <v>313</v>
      </c>
      <c r="I56" s="14"/>
      <c r="J56" s="7" t="s">
        <v>50</v>
      </c>
      <c r="K56" s="10" t="s">
        <v>50</v>
      </c>
      <c r="L56" s="14" t="s">
        <v>314</v>
      </c>
      <c r="M56" s="14"/>
      <c r="N56" s="14"/>
      <c r="O56" s="14"/>
      <c r="P56" s="14"/>
      <c r="Q56" s="10"/>
      <c r="R56" s="7"/>
      <c r="S56" s="7"/>
      <c r="T56" s="14"/>
      <c r="U56" s="10"/>
      <c r="V56" s="10"/>
    </row>
    <row r="57" spans="1:22" s="6" customFormat="1" ht="15" customHeight="1">
      <c r="A57" s="92" t="s">
        <v>56</v>
      </c>
      <c r="B57" s="10">
        <v>77</v>
      </c>
      <c r="C57" s="45" t="s">
        <v>315</v>
      </c>
      <c r="D57" s="10" t="s">
        <v>58</v>
      </c>
      <c r="E57" s="10" t="s">
        <v>34</v>
      </c>
      <c r="F57" s="14" t="s">
        <v>316</v>
      </c>
      <c r="G57" s="14" t="s">
        <v>317</v>
      </c>
      <c r="H57" s="14" t="s">
        <v>318</v>
      </c>
      <c r="I57" s="14"/>
      <c r="J57" s="10" t="s">
        <v>50</v>
      </c>
      <c r="K57" s="10" t="s">
        <v>50</v>
      </c>
      <c r="L57" s="14" t="s">
        <v>176</v>
      </c>
      <c r="M57" s="14"/>
      <c r="N57" s="14"/>
      <c r="O57" s="14"/>
      <c r="P57" s="14"/>
      <c r="Q57" s="10"/>
      <c r="R57" s="7"/>
      <c r="S57" s="7"/>
      <c r="T57" s="14"/>
      <c r="U57" s="10"/>
      <c r="V57" s="10"/>
    </row>
    <row r="58" spans="1:22" ht="15" customHeight="1">
      <c r="A58" s="92" t="s">
        <v>56</v>
      </c>
      <c r="B58" s="10">
        <v>2</v>
      </c>
      <c r="C58" s="45" t="s">
        <v>319</v>
      </c>
      <c r="D58" s="10" t="s">
        <v>58</v>
      </c>
      <c r="E58" s="10" t="s">
        <v>105</v>
      </c>
      <c r="F58" s="14" t="s">
        <v>106</v>
      </c>
      <c r="G58" s="14" t="s">
        <v>320</v>
      </c>
      <c r="H58" s="14" t="s">
        <v>321</v>
      </c>
      <c r="I58" s="14" t="s">
        <v>109</v>
      </c>
      <c r="J58" s="10" t="s">
        <v>50</v>
      </c>
      <c r="K58" s="10" t="s">
        <v>50</v>
      </c>
      <c r="L58" s="14" t="s">
        <v>322</v>
      </c>
      <c r="M58" s="14" t="s">
        <v>64</v>
      </c>
      <c r="N58" s="14" t="s">
        <v>181</v>
      </c>
      <c r="O58" s="14" t="s">
        <v>323</v>
      </c>
      <c r="P58" s="14" t="s">
        <v>43</v>
      </c>
      <c r="Q58" s="10"/>
      <c r="R58" s="10"/>
      <c r="S58" s="10"/>
      <c r="T58" s="14"/>
      <c r="U58" s="10" t="s">
        <v>324</v>
      </c>
      <c r="V58" s="14" t="s">
        <v>114</v>
      </c>
    </row>
    <row r="59" spans="1:22" s="6" customFormat="1" ht="15" customHeight="1">
      <c r="A59" s="92"/>
      <c r="B59" s="10">
        <v>38</v>
      </c>
      <c r="C59" s="16" t="s">
        <v>325</v>
      </c>
      <c r="D59" s="10" t="s">
        <v>58</v>
      </c>
      <c r="E59" s="7" t="s">
        <v>105</v>
      </c>
      <c r="F59" s="8" t="s">
        <v>106</v>
      </c>
      <c r="G59" s="8" t="s">
        <v>326</v>
      </c>
      <c r="H59" s="8" t="s">
        <v>327</v>
      </c>
      <c r="I59" s="8" t="s">
        <v>109</v>
      </c>
      <c r="J59" s="7" t="s">
        <v>39</v>
      </c>
      <c r="K59" s="7" t="s">
        <v>39</v>
      </c>
      <c r="L59" s="14"/>
      <c r="M59" s="14" t="s">
        <v>64</v>
      </c>
      <c r="N59" s="14" t="s">
        <v>111</v>
      </c>
      <c r="O59" s="8" t="s">
        <v>328</v>
      </c>
      <c r="P59" s="14" t="s">
        <v>43</v>
      </c>
      <c r="Q59" s="10"/>
      <c r="R59" s="10"/>
      <c r="S59" s="10"/>
      <c r="T59" s="14"/>
      <c r="U59" s="14" t="s">
        <v>329</v>
      </c>
      <c r="V59" s="14" t="s">
        <v>114</v>
      </c>
    </row>
    <row r="60" spans="1:22" s="6" customFormat="1" ht="15" customHeight="1">
      <c r="A60" s="92"/>
      <c r="B60" s="10">
        <v>84</v>
      </c>
      <c r="C60" s="16" t="s">
        <v>330</v>
      </c>
      <c r="D60" s="7" t="s">
        <v>58</v>
      </c>
      <c r="E60" s="7" t="s">
        <v>34</v>
      </c>
      <c r="F60" s="8" t="s">
        <v>331</v>
      </c>
      <c r="G60" s="8" t="s">
        <v>332</v>
      </c>
      <c r="H60" s="87" t="s">
        <v>333</v>
      </c>
      <c r="I60" s="8"/>
      <c r="J60" s="7" t="s">
        <v>50</v>
      </c>
      <c r="K60" s="7" t="s">
        <v>39</v>
      </c>
      <c r="L60" s="14" t="s">
        <v>78</v>
      </c>
      <c r="M60" s="8"/>
      <c r="N60" s="8"/>
      <c r="O60" s="8"/>
      <c r="P60" s="8"/>
      <c r="Q60" s="7"/>
      <c r="R60" s="7"/>
      <c r="S60" s="7"/>
      <c r="T60" s="14"/>
      <c r="U60" s="7"/>
      <c r="V60" s="7"/>
    </row>
    <row r="61" spans="1:22" ht="15" customHeight="1">
      <c r="A61" s="92" t="s">
        <v>56</v>
      </c>
      <c r="B61" s="10">
        <v>59</v>
      </c>
      <c r="C61" s="17" t="s">
        <v>334</v>
      </c>
      <c r="D61" s="10" t="s">
        <v>33</v>
      </c>
      <c r="E61" s="10"/>
      <c r="F61" s="14" t="s">
        <v>106</v>
      </c>
      <c r="G61" s="14" t="s">
        <v>335</v>
      </c>
      <c r="H61" s="14" t="s">
        <v>336</v>
      </c>
      <c r="I61" s="14" t="s">
        <v>95</v>
      </c>
      <c r="J61" s="10" t="s">
        <v>50</v>
      </c>
      <c r="K61" s="10" t="s">
        <v>50</v>
      </c>
      <c r="L61" s="14" t="s">
        <v>279</v>
      </c>
      <c r="M61" s="14" t="s">
        <v>134</v>
      </c>
      <c r="N61" s="14" t="s">
        <v>53</v>
      </c>
      <c r="O61" s="14"/>
      <c r="P61" s="14"/>
      <c r="Q61" s="10"/>
      <c r="R61" s="10"/>
      <c r="S61" s="10"/>
      <c r="T61" s="14"/>
      <c r="U61" s="10"/>
      <c r="V61" s="10"/>
    </row>
    <row r="62" spans="1:22" ht="15" customHeight="1">
      <c r="B62" s="10">
        <v>16</v>
      </c>
      <c r="C62" s="45" t="s">
        <v>337</v>
      </c>
      <c r="D62" s="10" t="s">
        <v>58</v>
      </c>
      <c r="E62" s="10" t="s">
        <v>34</v>
      </c>
      <c r="F62" s="14" t="s">
        <v>136</v>
      </c>
      <c r="G62" s="14" t="s">
        <v>338</v>
      </c>
      <c r="H62" s="14" t="s">
        <v>339</v>
      </c>
      <c r="I62" s="14" t="s">
        <v>340</v>
      </c>
      <c r="J62" s="10" t="s">
        <v>50</v>
      </c>
      <c r="K62" s="10" t="s">
        <v>39</v>
      </c>
      <c r="L62" s="10"/>
      <c r="M62" s="14" t="s">
        <v>52</v>
      </c>
      <c r="N62" s="14" t="s">
        <v>164</v>
      </c>
      <c r="O62" s="14" t="s">
        <v>341</v>
      </c>
      <c r="P62" s="14" t="s">
        <v>121</v>
      </c>
      <c r="Q62" s="14" t="s">
        <v>342</v>
      </c>
      <c r="R62" s="10"/>
      <c r="S62" s="10" t="s">
        <v>69</v>
      </c>
      <c r="T62" s="14" t="s">
        <v>343</v>
      </c>
      <c r="U62" s="10"/>
      <c r="V62" s="10"/>
    </row>
    <row r="63" spans="1:22" ht="15" customHeight="1">
      <c r="A63" s="92" t="s">
        <v>56</v>
      </c>
      <c r="B63" s="10">
        <v>23</v>
      </c>
      <c r="C63" s="45" t="s">
        <v>344</v>
      </c>
      <c r="D63" s="10" t="s">
        <v>58</v>
      </c>
      <c r="E63" s="10" t="s">
        <v>105</v>
      </c>
      <c r="F63" s="14" t="s">
        <v>106</v>
      </c>
      <c r="G63" s="14" t="s">
        <v>345</v>
      </c>
      <c r="H63" s="14" t="s">
        <v>346</v>
      </c>
      <c r="I63" s="14" t="s">
        <v>347</v>
      </c>
      <c r="J63" s="10" t="s">
        <v>95</v>
      </c>
      <c r="K63" s="10" t="s">
        <v>50</v>
      </c>
      <c r="L63" s="14" t="s">
        <v>348</v>
      </c>
      <c r="M63" s="14" t="s">
        <v>64</v>
      </c>
      <c r="N63" s="14" t="s">
        <v>53</v>
      </c>
      <c r="O63" s="14"/>
      <c r="P63" s="14" t="s">
        <v>43</v>
      </c>
      <c r="Q63" s="10"/>
      <c r="R63" s="10"/>
      <c r="S63" s="10"/>
      <c r="T63" s="14"/>
      <c r="U63" s="10"/>
      <c r="V63" s="10"/>
    </row>
    <row r="64" spans="1:22" ht="15" customHeight="1">
      <c r="B64" s="10">
        <v>56</v>
      </c>
      <c r="C64" s="16" t="s">
        <v>349</v>
      </c>
      <c r="D64" s="7" t="s">
        <v>33</v>
      </c>
      <c r="E64" s="7"/>
      <c r="F64" s="8" t="s">
        <v>74</v>
      </c>
      <c r="G64" s="8" t="s">
        <v>350</v>
      </c>
      <c r="H64" s="8" t="s">
        <v>351</v>
      </c>
      <c r="I64" s="8" t="s">
        <v>95</v>
      </c>
      <c r="J64" s="7" t="s">
        <v>39</v>
      </c>
      <c r="K64" s="7" t="s">
        <v>39</v>
      </c>
      <c r="L64" s="7"/>
      <c r="M64" s="14" t="s">
        <v>41</v>
      </c>
      <c r="N64" s="14" t="s">
        <v>111</v>
      </c>
      <c r="O64" s="8"/>
      <c r="P64" s="8"/>
      <c r="Q64" s="10"/>
      <c r="R64" s="10"/>
      <c r="S64" s="10"/>
      <c r="T64" s="14"/>
      <c r="U64" s="7"/>
      <c r="V64" s="7"/>
    </row>
    <row r="65" spans="1:22" ht="15" customHeight="1">
      <c r="B65" s="10">
        <v>63</v>
      </c>
      <c r="C65" s="86" t="s">
        <v>352</v>
      </c>
      <c r="D65" s="7" t="s">
        <v>58</v>
      </c>
      <c r="E65" s="7"/>
      <c r="F65" s="8" t="s">
        <v>106</v>
      </c>
      <c r="G65" s="8" t="s">
        <v>353</v>
      </c>
      <c r="H65" s="8" t="s">
        <v>354</v>
      </c>
      <c r="I65" s="8" t="s">
        <v>355</v>
      </c>
      <c r="J65" s="7" t="s">
        <v>39</v>
      </c>
      <c r="K65" s="7" t="s">
        <v>39</v>
      </c>
      <c r="L65" s="7"/>
      <c r="M65" s="14" t="s">
        <v>140</v>
      </c>
      <c r="N65" s="14" t="s">
        <v>141</v>
      </c>
      <c r="O65" s="8"/>
      <c r="P65" s="8" t="s">
        <v>43</v>
      </c>
      <c r="Q65" s="10"/>
      <c r="R65" s="10"/>
      <c r="S65" s="10"/>
      <c r="T65" s="14"/>
      <c r="U65" s="7"/>
      <c r="V65" s="7"/>
    </row>
    <row r="66" spans="1:22" s="6" customFormat="1" ht="15" customHeight="1">
      <c r="A66" s="92" t="s">
        <v>56</v>
      </c>
      <c r="B66" s="94">
        <v>40</v>
      </c>
      <c r="C66" s="95" t="s">
        <v>356</v>
      </c>
      <c r="D66" s="10" t="s">
        <v>33</v>
      </c>
      <c r="E66" s="7" t="s">
        <v>34</v>
      </c>
      <c r="F66" s="8" t="s">
        <v>218</v>
      </c>
      <c r="G66" s="8" t="s">
        <v>219</v>
      </c>
      <c r="H66" s="8" t="s">
        <v>357</v>
      </c>
      <c r="I66" s="8" t="s">
        <v>221</v>
      </c>
      <c r="J66" s="7" t="s">
        <v>50</v>
      </c>
      <c r="K66" s="10" t="s">
        <v>39</v>
      </c>
      <c r="L66" s="10"/>
      <c r="M66" s="14" t="s">
        <v>52</v>
      </c>
      <c r="N66" s="14" t="s">
        <v>164</v>
      </c>
      <c r="O66" s="8"/>
      <c r="P66" s="14" t="s">
        <v>43</v>
      </c>
      <c r="Q66" s="10"/>
      <c r="R66" s="10"/>
      <c r="S66" s="10"/>
      <c r="T66" s="14"/>
      <c r="U66" s="7"/>
      <c r="V66" s="7"/>
    </row>
    <row r="67" spans="1:22" ht="15" customHeight="1">
      <c r="A67" s="92" t="s">
        <v>56</v>
      </c>
      <c r="B67" s="94">
        <v>80</v>
      </c>
      <c r="C67" s="96" t="s">
        <v>358</v>
      </c>
      <c r="D67" s="10" t="s">
        <v>58</v>
      </c>
      <c r="E67" s="10" t="s">
        <v>34</v>
      </c>
      <c r="F67" s="14" t="s">
        <v>359</v>
      </c>
      <c r="G67" s="10" t="s">
        <v>360</v>
      </c>
      <c r="H67" s="14" t="s">
        <v>361</v>
      </c>
      <c r="I67" s="14"/>
      <c r="J67" s="10" t="s">
        <v>50</v>
      </c>
      <c r="K67" s="10" t="s">
        <v>50</v>
      </c>
      <c r="L67" s="14" t="s">
        <v>362</v>
      </c>
      <c r="M67" s="14"/>
      <c r="N67" s="14"/>
      <c r="O67" s="14"/>
      <c r="P67" s="14"/>
      <c r="Q67" s="10"/>
      <c r="R67" s="7"/>
      <c r="S67" s="7"/>
      <c r="T67" s="14"/>
      <c r="U67" s="10"/>
      <c r="V67" s="10"/>
    </row>
    <row r="68" spans="1:22" ht="15" customHeight="1">
      <c r="B68" s="94">
        <v>86</v>
      </c>
      <c r="C68" s="124" t="s">
        <v>358</v>
      </c>
      <c r="D68" s="10" t="s">
        <v>58</v>
      </c>
      <c r="E68" s="7" t="s">
        <v>34</v>
      </c>
      <c r="F68" s="14"/>
      <c r="G68" s="14"/>
      <c r="H68" s="14" t="s">
        <v>363</v>
      </c>
      <c r="I68" s="14"/>
      <c r="J68" s="7" t="s">
        <v>50</v>
      </c>
      <c r="K68" s="7" t="s">
        <v>50</v>
      </c>
      <c r="L68" s="14" t="s">
        <v>362</v>
      </c>
      <c r="M68" s="14"/>
      <c r="N68" s="14"/>
      <c r="O68" s="14"/>
      <c r="P68" s="14"/>
      <c r="Q68" s="10"/>
      <c r="R68" s="7"/>
      <c r="S68" s="7"/>
      <c r="T68" s="14"/>
      <c r="U68" s="10"/>
      <c r="V68" s="10"/>
    </row>
    <row r="69" spans="1:22" ht="15" customHeight="1">
      <c r="A69" s="92" t="s">
        <v>56</v>
      </c>
      <c r="B69" s="10">
        <v>49</v>
      </c>
      <c r="C69" s="45" t="s">
        <v>364</v>
      </c>
      <c r="D69" s="10" t="s">
        <v>58</v>
      </c>
      <c r="E69" s="10" t="s">
        <v>34</v>
      </c>
      <c r="F69" s="14" t="s">
        <v>296</v>
      </c>
      <c r="G69" s="14" t="s">
        <v>365</v>
      </c>
      <c r="H69" s="14" t="s">
        <v>366</v>
      </c>
      <c r="I69" s="14" t="s">
        <v>274</v>
      </c>
      <c r="J69" s="10" t="s">
        <v>50</v>
      </c>
      <c r="K69" s="10" t="s">
        <v>50</v>
      </c>
      <c r="L69" s="14" t="s">
        <v>90</v>
      </c>
      <c r="M69" s="14" t="s">
        <v>52</v>
      </c>
      <c r="N69" s="14" t="s">
        <v>141</v>
      </c>
      <c r="O69" s="14" t="s">
        <v>367</v>
      </c>
      <c r="P69" s="14" t="s">
        <v>43</v>
      </c>
      <c r="Q69" s="14" t="s">
        <v>368</v>
      </c>
      <c r="R69" s="10"/>
      <c r="S69" s="10"/>
      <c r="T69" s="14"/>
      <c r="U69" s="10" t="s">
        <v>369</v>
      </c>
      <c r="V69" s="10" t="s">
        <v>370</v>
      </c>
    </row>
    <row r="70" spans="1:22" ht="15" customHeight="1">
      <c r="A70" s="92" t="s">
        <v>56</v>
      </c>
      <c r="B70" s="10">
        <v>60</v>
      </c>
      <c r="C70" s="17" t="s">
        <v>371</v>
      </c>
      <c r="D70" s="10" t="s">
        <v>33</v>
      </c>
      <c r="E70" s="10"/>
      <c r="F70" s="14" t="s">
        <v>106</v>
      </c>
      <c r="G70" s="14" t="s">
        <v>372</v>
      </c>
      <c r="H70" s="14" t="s">
        <v>373</v>
      </c>
      <c r="I70" s="14" t="s">
        <v>95</v>
      </c>
      <c r="J70" s="10" t="s">
        <v>50</v>
      </c>
      <c r="K70" s="10" t="s">
        <v>50</v>
      </c>
      <c r="L70" s="14" t="s">
        <v>374</v>
      </c>
      <c r="M70" s="14" t="s">
        <v>134</v>
      </c>
      <c r="N70" s="14" t="s">
        <v>65</v>
      </c>
      <c r="O70" s="14"/>
      <c r="P70" s="14"/>
      <c r="Q70" s="10"/>
      <c r="R70" s="10"/>
      <c r="S70" s="10"/>
      <c r="T70" s="14"/>
      <c r="U70" s="10"/>
      <c r="V70" s="10"/>
    </row>
    <row r="71" spans="1:22" ht="15" customHeight="1">
      <c r="A71" s="92" t="s">
        <v>56</v>
      </c>
      <c r="B71" s="10">
        <v>53</v>
      </c>
      <c r="C71" s="45" t="s">
        <v>375</v>
      </c>
      <c r="D71" s="10" t="s">
        <v>58</v>
      </c>
      <c r="E71" s="10"/>
      <c r="F71" s="14" t="s">
        <v>143</v>
      </c>
      <c r="G71" s="80" t="s">
        <v>376</v>
      </c>
      <c r="H71" s="14" t="s">
        <v>377</v>
      </c>
      <c r="I71" s="14" t="s">
        <v>378</v>
      </c>
      <c r="J71" s="10" t="s">
        <v>50</v>
      </c>
      <c r="K71" s="10" t="s">
        <v>50</v>
      </c>
      <c r="L71" s="14" t="s">
        <v>40</v>
      </c>
      <c r="M71" s="14" t="s">
        <v>140</v>
      </c>
      <c r="N71" s="14" t="s">
        <v>141</v>
      </c>
      <c r="P71" s="70" t="s">
        <v>43</v>
      </c>
      <c r="R71" s="9"/>
      <c r="S71" s="9"/>
    </row>
    <row r="72" spans="1:22" s="6" customFormat="1" ht="15" customHeight="1">
      <c r="A72" s="92" t="s">
        <v>56</v>
      </c>
      <c r="B72" s="10">
        <v>31</v>
      </c>
      <c r="C72" s="16" t="s">
        <v>379</v>
      </c>
      <c r="D72" s="10" t="s">
        <v>58</v>
      </c>
      <c r="E72" s="7" t="s">
        <v>34</v>
      </c>
      <c r="F72" s="8" t="s">
        <v>136</v>
      </c>
      <c r="G72" s="8" t="s">
        <v>380</v>
      </c>
      <c r="H72" s="8" t="s">
        <v>381</v>
      </c>
      <c r="I72" s="8" t="s">
        <v>382</v>
      </c>
      <c r="J72" s="10" t="s">
        <v>50</v>
      </c>
      <c r="K72" s="10" t="s">
        <v>50</v>
      </c>
      <c r="L72" s="14" t="s">
        <v>40</v>
      </c>
      <c r="M72" s="14" t="s">
        <v>41</v>
      </c>
      <c r="N72" s="14" t="s">
        <v>53</v>
      </c>
      <c r="O72" s="1" t="s">
        <v>150</v>
      </c>
      <c r="P72" s="70" t="s">
        <v>43</v>
      </c>
      <c r="Q72" s="9" t="s">
        <v>44</v>
      </c>
      <c r="R72" s="9"/>
      <c r="S72" s="9"/>
      <c r="T72" s="70"/>
      <c r="U72" s="6" t="s">
        <v>306</v>
      </c>
    </row>
    <row r="73" spans="1:22" ht="15" customHeight="1">
      <c r="A73" s="92" t="s">
        <v>56</v>
      </c>
      <c r="B73" s="10">
        <v>51</v>
      </c>
      <c r="C73" s="16" t="s">
        <v>383</v>
      </c>
      <c r="D73" s="7" t="s">
        <v>33</v>
      </c>
      <c r="E73" s="7"/>
      <c r="F73" s="8" t="s">
        <v>117</v>
      </c>
      <c r="G73" s="8" t="s">
        <v>384</v>
      </c>
      <c r="H73" s="8" t="s">
        <v>385</v>
      </c>
      <c r="I73" s="8" t="s">
        <v>274</v>
      </c>
      <c r="J73" s="7" t="s">
        <v>50</v>
      </c>
      <c r="K73" s="7" t="s">
        <v>39</v>
      </c>
      <c r="L73" s="7"/>
      <c r="M73" s="14" t="s">
        <v>52</v>
      </c>
      <c r="N73" s="14" t="s">
        <v>164</v>
      </c>
      <c r="O73" s="1" t="s">
        <v>150</v>
      </c>
      <c r="P73" s="1" t="s">
        <v>43</v>
      </c>
      <c r="R73" s="9"/>
      <c r="S73" s="9"/>
      <c r="U73" s="1" t="s">
        <v>386</v>
      </c>
      <c r="V73" s="6"/>
    </row>
    <row r="74" spans="1:22" s="6" customFormat="1" ht="15" customHeight="1">
      <c r="A74" s="92"/>
      <c r="B74" s="10">
        <v>33</v>
      </c>
      <c r="C74" s="16" t="s">
        <v>387</v>
      </c>
      <c r="D74" s="10" t="s">
        <v>58</v>
      </c>
      <c r="E74" s="7" t="s">
        <v>34</v>
      </c>
      <c r="F74" s="8" t="s">
        <v>136</v>
      </c>
      <c r="G74" s="8" t="s">
        <v>388</v>
      </c>
      <c r="H74" s="8" t="s">
        <v>389</v>
      </c>
      <c r="I74" s="8" t="s">
        <v>390</v>
      </c>
      <c r="J74" s="7" t="s">
        <v>39</v>
      </c>
      <c r="K74" s="10" t="s">
        <v>39</v>
      </c>
      <c r="L74" s="14" t="s">
        <v>40</v>
      </c>
      <c r="M74" s="14" t="s">
        <v>41</v>
      </c>
      <c r="N74" s="14" t="s">
        <v>42</v>
      </c>
      <c r="O74" s="1" t="s">
        <v>150</v>
      </c>
      <c r="P74" s="89" t="s">
        <v>42</v>
      </c>
      <c r="Q74" s="9" t="s">
        <v>44</v>
      </c>
      <c r="R74" s="9"/>
      <c r="S74" s="9"/>
      <c r="T74" s="70"/>
      <c r="U74" s="6" t="s">
        <v>306</v>
      </c>
    </row>
    <row r="75" spans="1:22" ht="15" customHeight="1">
      <c r="A75" s="92" t="s">
        <v>56</v>
      </c>
      <c r="B75" s="10">
        <v>67</v>
      </c>
      <c r="C75" s="45" t="s">
        <v>391</v>
      </c>
      <c r="D75" s="10" t="s">
        <v>58</v>
      </c>
      <c r="E75" s="10" t="s">
        <v>34</v>
      </c>
      <c r="F75" s="81" t="s">
        <v>160</v>
      </c>
      <c r="G75" s="10" t="s">
        <v>392</v>
      </c>
      <c r="H75" s="14" t="s">
        <v>393</v>
      </c>
      <c r="I75" s="14" t="s">
        <v>394</v>
      </c>
      <c r="J75" s="10" t="s">
        <v>50</v>
      </c>
      <c r="K75" s="10" t="s">
        <v>50</v>
      </c>
      <c r="L75" s="14" t="s">
        <v>90</v>
      </c>
      <c r="M75" s="14" t="s">
        <v>140</v>
      </c>
      <c r="N75" s="14" t="s">
        <v>141</v>
      </c>
      <c r="P75" s="70" t="s">
        <v>43</v>
      </c>
    </row>
    <row r="76" spans="1:22" s="6" customFormat="1" ht="15" customHeight="1">
      <c r="A76" s="92"/>
      <c r="B76" s="10">
        <v>28</v>
      </c>
      <c r="C76" s="45" t="s">
        <v>395</v>
      </c>
      <c r="D76" s="10" t="s">
        <v>58</v>
      </c>
      <c r="E76" s="10" t="s">
        <v>116</v>
      </c>
      <c r="F76" s="14" t="s">
        <v>136</v>
      </c>
      <c r="G76" s="14" t="s">
        <v>396</v>
      </c>
      <c r="H76" s="14" t="s">
        <v>397</v>
      </c>
      <c r="I76" s="14" t="s">
        <v>398</v>
      </c>
      <c r="J76" s="10" t="s">
        <v>39</v>
      </c>
      <c r="K76" s="10" t="s">
        <v>39</v>
      </c>
      <c r="L76" s="10"/>
      <c r="M76" s="14" t="s">
        <v>41</v>
      </c>
      <c r="N76" s="14" t="s">
        <v>42</v>
      </c>
      <c r="O76" s="70"/>
      <c r="P76" s="70" t="s">
        <v>43</v>
      </c>
      <c r="Q76" s="9"/>
      <c r="R76" s="9"/>
      <c r="S76" s="9"/>
      <c r="T76" s="70"/>
      <c r="U76" s="70" t="s">
        <v>399</v>
      </c>
      <c r="V76" s="70" t="s">
        <v>400</v>
      </c>
    </row>
    <row r="77" spans="1:22" ht="15" customHeight="1">
      <c r="A77" s="92" t="s">
        <v>56</v>
      </c>
      <c r="B77" s="10">
        <v>5</v>
      </c>
      <c r="C77" s="45" t="s">
        <v>401</v>
      </c>
      <c r="D77" s="10" t="s">
        <v>58</v>
      </c>
      <c r="E77" s="10" t="s">
        <v>34</v>
      </c>
      <c r="F77" s="14" t="s">
        <v>218</v>
      </c>
      <c r="G77" s="14" t="s">
        <v>402</v>
      </c>
      <c r="H77" s="14" t="s">
        <v>403</v>
      </c>
      <c r="I77" s="14" t="s">
        <v>404</v>
      </c>
      <c r="J77" s="10" t="s">
        <v>50</v>
      </c>
      <c r="K77" s="10" t="s">
        <v>39</v>
      </c>
      <c r="L77" s="10"/>
      <c r="M77" s="14" t="s">
        <v>41</v>
      </c>
      <c r="N77" s="14" t="s">
        <v>96</v>
      </c>
      <c r="O77" s="70" t="s">
        <v>405</v>
      </c>
      <c r="P77" s="33" t="s">
        <v>43</v>
      </c>
      <c r="Q77" s="70" t="s">
        <v>342</v>
      </c>
      <c r="R77" s="9"/>
      <c r="S77" s="9" t="s">
        <v>69</v>
      </c>
    </row>
    <row r="78" spans="1:22" s="6" customFormat="1" ht="15" customHeight="1">
      <c r="A78" s="92" t="s">
        <v>56</v>
      </c>
      <c r="B78" s="10">
        <v>24</v>
      </c>
      <c r="C78" s="97" t="s">
        <v>406</v>
      </c>
      <c r="D78" s="37" t="s">
        <v>58</v>
      </c>
      <c r="E78" s="37" t="s">
        <v>116</v>
      </c>
      <c r="F78" s="38" t="s">
        <v>263</v>
      </c>
      <c r="G78" s="38" t="s">
        <v>407</v>
      </c>
      <c r="H78" s="38" t="s">
        <v>408</v>
      </c>
      <c r="I78" s="38" t="s">
        <v>409</v>
      </c>
      <c r="J78" s="10" t="s">
        <v>95</v>
      </c>
      <c r="K78" s="10" t="s">
        <v>50</v>
      </c>
      <c r="L78" s="14" t="s">
        <v>410</v>
      </c>
      <c r="M78" s="14" t="s">
        <v>64</v>
      </c>
      <c r="N78" s="14" t="s">
        <v>111</v>
      </c>
      <c r="O78" s="70" t="s">
        <v>411</v>
      </c>
      <c r="P78" s="70" t="s">
        <v>43</v>
      </c>
      <c r="Q78" s="9"/>
      <c r="R78" s="9"/>
      <c r="S78" s="9"/>
      <c r="T78" s="70"/>
      <c r="U78" s="70" t="s">
        <v>412</v>
      </c>
      <c r="V78" s="70"/>
    </row>
    <row r="79" spans="1:22" ht="15" customHeight="1">
      <c r="B79" s="10">
        <v>25</v>
      </c>
      <c r="C79" s="97" t="s">
        <v>406</v>
      </c>
      <c r="D79" s="37" t="s">
        <v>58</v>
      </c>
      <c r="E79" s="37" t="s">
        <v>116</v>
      </c>
      <c r="F79" s="38" t="s">
        <v>263</v>
      </c>
      <c r="G79" s="38" t="s">
        <v>413</v>
      </c>
      <c r="H79" s="38" t="s">
        <v>414</v>
      </c>
      <c r="I79" s="38"/>
      <c r="J79" s="10" t="s">
        <v>95</v>
      </c>
      <c r="K79" s="10" t="s">
        <v>39</v>
      </c>
      <c r="L79" s="14"/>
      <c r="M79" s="14" t="s">
        <v>64</v>
      </c>
      <c r="N79" s="14" t="s">
        <v>111</v>
      </c>
      <c r="P79" s="70" t="s">
        <v>43</v>
      </c>
      <c r="R79" s="9"/>
      <c r="S79" s="9"/>
      <c r="U79" s="70" t="s">
        <v>412</v>
      </c>
      <c r="V79" s="70"/>
    </row>
    <row r="80" spans="1:22" s="6" customFormat="1" ht="15" customHeight="1">
      <c r="A80" s="92"/>
      <c r="B80" s="10">
        <v>26</v>
      </c>
      <c r="C80" s="84" t="s">
        <v>415</v>
      </c>
      <c r="D80" s="37" t="s">
        <v>58</v>
      </c>
      <c r="E80" s="37" t="s">
        <v>116</v>
      </c>
      <c r="F80" s="38" t="s">
        <v>263</v>
      </c>
      <c r="G80" s="38" t="s">
        <v>416</v>
      </c>
      <c r="H80" s="38" t="s">
        <v>417</v>
      </c>
      <c r="I80" s="38"/>
      <c r="J80" s="10" t="s">
        <v>95</v>
      </c>
      <c r="K80" s="10" t="s">
        <v>39</v>
      </c>
      <c r="L80" s="10"/>
      <c r="M80" s="14" t="s">
        <v>64</v>
      </c>
      <c r="N80" s="14" t="s">
        <v>111</v>
      </c>
      <c r="O80" s="70"/>
      <c r="P80" s="70" t="s">
        <v>43</v>
      </c>
      <c r="Q80" s="9"/>
      <c r="R80" s="9"/>
      <c r="S80" s="9"/>
      <c r="T80" s="70"/>
      <c r="U80" s="70" t="s">
        <v>412</v>
      </c>
      <c r="V80" s="9"/>
    </row>
    <row r="81" spans="1:22" ht="15" customHeight="1">
      <c r="B81" s="10">
        <v>27</v>
      </c>
      <c r="C81" s="84" t="s">
        <v>418</v>
      </c>
      <c r="D81" s="37" t="s">
        <v>58</v>
      </c>
      <c r="E81" s="37" t="s">
        <v>116</v>
      </c>
      <c r="F81" s="38" t="s">
        <v>218</v>
      </c>
      <c r="G81" s="38" t="s">
        <v>419</v>
      </c>
      <c r="H81" s="38" t="s">
        <v>420</v>
      </c>
      <c r="I81" s="38"/>
      <c r="J81" s="10" t="s">
        <v>95</v>
      </c>
      <c r="K81" s="10" t="s">
        <v>39</v>
      </c>
      <c r="L81" s="10"/>
      <c r="M81" s="14" t="s">
        <v>64</v>
      </c>
      <c r="N81" s="14" t="s">
        <v>111</v>
      </c>
      <c r="P81" s="70" t="s">
        <v>43</v>
      </c>
      <c r="R81" s="9"/>
      <c r="S81" s="9"/>
      <c r="U81" s="70" t="s">
        <v>412</v>
      </c>
      <c r="V81" s="70"/>
    </row>
    <row r="82" spans="1:22" ht="15" customHeight="1">
      <c r="B82" s="10">
        <v>32</v>
      </c>
      <c r="C82" s="16" t="s">
        <v>421</v>
      </c>
      <c r="D82" s="10" t="s">
        <v>58</v>
      </c>
      <c r="E82" s="7" t="s">
        <v>34</v>
      </c>
      <c r="F82" s="8" t="s">
        <v>136</v>
      </c>
      <c r="G82" s="8" t="s">
        <v>422</v>
      </c>
      <c r="H82" s="8" t="s">
        <v>423</v>
      </c>
      <c r="I82" s="8" t="s">
        <v>424</v>
      </c>
      <c r="J82" s="7" t="s">
        <v>39</v>
      </c>
      <c r="K82" s="10" t="s">
        <v>39</v>
      </c>
      <c r="L82" s="14" t="s">
        <v>40</v>
      </c>
      <c r="M82" s="14" t="s">
        <v>41</v>
      </c>
      <c r="N82" s="14" t="s">
        <v>42</v>
      </c>
      <c r="O82" s="1" t="s">
        <v>150</v>
      </c>
      <c r="P82" s="89" t="s">
        <v>42</v>
      </c>
      <c r="Q82" s="9" t="s">
        <v>44</v>
      </c>
      <c r="R82" s="9"/>
      <c r="S82" s="9"/>
      <c r="U82" s="6" t="s">
        <v>306</v>
      </c>
      <c r="V82" s="6"/>
    </row>
    <row r="83" spans="1:22" ht="15" customHeight="1">
      <c r="B83" s="10">
        <v>8</v>
      </c>
      <c r="C83" s="45" t="s">
        <v>425</v>
      </c>
      <c r="D83" s="10" t="s">
        <v>58</v>
      </c>
      <c r="E83" s="10" t="s">
        <v>34</v>
      </c>
      <c r="F83" s="14" t="s">
        <v>136</v>
      </c>
      <c r="G83" s="14" t="s">
        <v>426</v>
      </c>
      <c r="H83" s="14" t="s">
        <v>427</v>
      </c>
      <c r="I83" s="14" t="s">
        <v>428</v>
      </c>
      <c r="J83" s="10" t="s">
        <v>50</v>
      </c>
      <c r="K83" s="10" t="s">
        <v>51</v>
      </c>
      <c r="L83" s="10"/>
      <c r="M83" s="14" t="s">
        <v>41</v>
      </c>
      <c r="N83" s="14" t="s">
        <v>42</v>
      </c>
      <c r="O83" s="70" t="s">
        <v>429</v>
      </c>
      <c r="P83" s="33" t="s">
        <v>43</v>
      </c>
      <c r="Q83" s="9" t="s">
        <v>68</v>
      </c>
      <c r="R83" s="9"/>
      <c r="S83" s="9"/>
    </row>
    <row r="84" spans="1:22" ht="15" customHeight="1">
      <c r="A84" s="92" t="s">
        <v>56</v>
      </c>
      <c r="B84" s="10">
        <v>4</v>
      </c>
      <c r="C84" s="45" t="s">
        <v>430</v>
      </c>
      <c r="D84" s="10" t="s">
        <v>33</v>
      </c>
      <c r="E84" s="10" t="s">
        <v>34</v>
      </c>
      <c r="F84" s="14" t="s">
        <v>59</v>
      </c>
      <c r="G84" s="14" t="s">
        <v>431</v>
      </c>
      <c r="H84" s="14" t="s">
        <v>432</v>
      </c>
      <c r="I84" s="14" t="s">
        <v>433</v>
      </c>
      <c r="J84" s="10" t="s">
        <v>50</v>
      </c>
      <c r="K84" s="10" t="s">
        <v>50</v>
      </c>
      <c r="L84" s="14" t="s">
        <v>434</v>
      </c>
      <c r="M84" s="14" t="s">
        <v>64</v>
      </c>
      <c r="N84" s="14" t="s">
        <v>65</v>
      </c>
      <c r="O84" s="70" t="s">
        <v>435</v>
      </c>
      <c r="P84" s="70" t="s">
        <v>165</v>
      </c>
      <c r="R84" s="9"/>
      <c r="S84" s="9" t="s">
        <v>69</v>
      </c>
      <c r="U84" s="70" t="s">
        <v>436</v>
      </c>
    </row>
    <row r="85" spans="1:22" ht="15" customHeight="1">
      <c r="B85" s="10">
        <v>18</v>
      </c>
      <c r="C85" s="45" t="s">
        <v>437</v>
      </c>
      <c r="D85" s="10" t="s">
        <v>33</v>
      </c>
      <c r="E85" s="10" t="s">
        <v>116</v>
      </c>
      <c r="F85" s="14" t="s">
        <v>117</v>
      </c>
      <c r="G85" s="14" t="s">
        <v>117</v>
      </c>
      <c r="H85" s="14" t="s">
        <v>118</v>
      </c>
      <c r="I85" s="14" t="s">
        <v>119</v>
      </c>
      <c r="J85" s="10" t="s">
        <v>50</v>
      </c>
      <c r="K85" s="10" t="s">
        <v>39</v>
      </c>
      <c r="L85" s="10"/>
      <c r="M85" s="14" t="s">
        <v>41</v>
      </c>
      <c r="N85" s="14" t="s">
        <v>120</v>
      </c>
      <c r="O85" s="70" t="s">
        <v>121</v>
      </c>
      <c r="P85" s="70" t="s">
        <v>43</v>
      </c>
      <c r="R85" s="9"/>
      <c r="S85" s="9"/>
      <c r="T85" s="70" t="s">
        <v>122</v>
      </c>
      <c r="U85" s="9" t="s">
        <v>191</v>
      </c>
      <c r="V85" s="9" t="s">
        <v>192</v>
      </c>
    </row>
    <row r="86" spans="1:22" s="6" customFormat="1" ht="15" customHeight="1">
      <c r="A86" s="92"/>
      <c r="B86" s="10">
        <v>21</v>
      </c>
      <c r="C86" s="45" t="s">
        <v>438</v>
      </c>
      <c r="D86" s="10" t="s">
        <v>33</v>
      </c>
      <c r="E86" s="10" t="s">
        <v>116</v>
      </c>
      <c r="F86" s="14" t="s">
        <v>117</v>
      </c>
      <c r="G86" s="14" t="s">
        <v>117</v>
      </c>
      <c r="H86" s="70" t="s">
        <v>439</v>
      </c>
      <c r="I86" s="14" t="s">
        <v>119</v>
      </c>
      <c r="J86" s="10" t="s">
        <v>50</v>
      </c>
      <c r="K86" s="10" t="s">
        <v>39</v>
      </c>
      <c r="L86" s="10"/>
      <c r="M86" s="14" t="s">
        <v>52</v>
      </c>
      <c r="N86" s="14" t="s">
        <v>141</v>
      </c>
      <c r="O86" s="70" t="s">
        <v>121</v>
      </c>
      <c r="P86" s="70" t="s">
        <v>43</v>
      </c>
      <c r="Q86" s="9"/>
      <c r="R86" s="9"/>
      <c r="S86" s="9"/>
      <c r="T86" s="70" t="s">
        <v>122</v>
      </c>
      <c r="U86" s="9" t="s">
        <v>191</v>
      </c>
      <c r="V86" s="9" t="s">
        <v>192</v>
      </c>
    </row>
    <row r="87" spans="1:22" ht="15" customHeight="1">
      <c r="A87" s="92" t="s">
        <v>56</v>
      </c>
      <c r="B87" s="10">
        <v>35</v>
      </c>
      <c r="C87" s="45" t="s">
        <v>440</v>
      </c>
      <c r="D87" s="10" t="s">
        <v>33</v>
      </c>
      <c r="E87" s="10" t="s">
        <v>34</v>
      </c>
      <c r="F87" s="14" t="s">
        <v>160</v>
      </c>
      <c r="G87" s="14" t="s">
        <v>47</v>
      </c>
      <c r="H87" s="14" t="s">
        <v>441</v>
      </c>
      <c r="I87" s="14" t="s">
        <v>442</v>
      </c>
      <c r="J87" s="10" t="s">
        <v>50</v>
      </c>
      <c r="K87" s="10" t="s">
        <v>50</v>
      </c>
      <c r="L87" s="14" t="s">
        <v>40</v>
      </c>
      <c r="M87" s="14" t="s">
        <v>134</v>
      </c>
      <c r="N87" s="14" t="s">
        <v>65</v>
      </c>
      <c r="O87" s="70" t="s">
        <v>443</v>
      </c>
      <c r="P87" s="70" t="s">
        <v>165</v>
      </c>
      <c r="Q87" s="9" t="s">
        <v>44</v>
      </c>
      <c r="R87" s="9"/>
      <c r="S87" s="9"/>
      <c r="U87" s="70" t="s">
        <v>444</v>
      </c>
    </row>
    <row r="88" spans="1:22" ht="15" customHeight="1">
      <c r="A88" s="92" t="s">
        <v>56</v>
      </c>
      <c r="B88" s="10">
        <v>12</v>
      </c>
      <c r="C88" s="45" t="s">
        <v>445</v>
      </c>
      <c r="D88" s="10" t="s">
        <v>33</v>
      </c>
      <c r="E88" s="10" t="s">
        <v>116</v>
      </c>
      <c r="F88" s="14" t="s">
        <v>74</v>
      </c>
      <c r="G88" s="14" t="s">
        <v>289</v>
      </c>
      <c r="H88" s="14" t="s">
        <v>290</v>
      </c>
      <c r="I88" s="14" t="s">
        <v>446</v>
      </c>
      <c r="J88" s="10" t="s">
        <v>50</v>
      </c>
      <c r="K88" s="10" t="s">
        <v>50</v>
      </c>
      <c r="L88" s="14" t="s">
        <v>447</v>
      </c>
      <c r="M88" s="70" t="s">
        <v>140</v>
      </c>
      <c r="N88" s="70" t="s">
        <v>164</v>
      </c>
      <c r="O88" s="70" t="s">
        <v>448</v>
      </c>
      <c r="P88" s="77" t="s">
        <v>43</v>
      </c>
      <c r="R88" s="9"/>
      <c r="S88" s="9" t="s">
        <v>69</v>
      </c>
    </row>
    <row r="89" spans="1:22" ht="15" customHeight="1">
      <c r="B89" s="10">
        <v>70</v>
      </c>
      <c r="C89" s="16" t="s">
        <v>449</v>
      </c>
      <c r="D89" s="7" t="s">
        <v>33</v>
      </c>
      <c r="E89" s="7" t="s">
        <v>34</v>
      </c>
      <c r="F89" s="41" t="s">
        <v>450</v>
      </c>
      <c r="G89" s="8" t="s">
        <v>451</v>
      </c>
      <c r="H89" s="8" t="s">
        <v>452</v>
      </c>
      <c r="I89" s="8"/>
      <c r="J89" s="10" t="s">
        <v>39</v>
      </c>
      <c r="K89" s="10" t="s">
        <v>39</v>
      </c>
      <c r="L89" s="14" t="s">
        <v>453</v>
      </c>
      <c r="O89" s="1"/>
      <c r="P89" s="1"/>
      <c r="Q89" s="6"/>
      <c r="U89" s="6"/>
      <c r="V89" s="6"/>
    </row>
    <row r="90" spans="1:22" ht="15" customHeight="1">
      <c r="A90" s="92" t="s">
        <v>56</v>
      </c>
      <c r="B90" s="10">
        <v>6</v>
      </c>
      <c r="C90" s="45" t="s">
        <v>454</v>
      </c>
      <c r="D90" s="10" t="s">
        <v>58</v>
      </c>
      <c r="E90" s="10" t="s">
        <v>34</v>
      </c>
      <c r="F90" s="14" t="s">
        <v>136</v>
      </c>
      <c r="G90" s="14" t="s">
        <v>455</v>
      </c>
      <c r="H90" s="14" t="s">
        <v>456</v>
      </c>
      <c r="I90" s="14" t="s">
        <v>457</v>
      </c>
      <c r="J90" s="10" t="s">
        <v>50</v>
      </c>
      <c r="K90" s="10" t="s">
        <v>50</v>
      </c>
      <c r="L90" s="14" t="s">
        <v>40</v>
      </c>
      <c r="M90" s="70" t="s">
        <v>52</v>
      </c>
      <c r="N90" s="70" t="s">
        <v>181</v>
      </c>
      <c r="O90" s="70" t="s">
        <v>458</v>
      </c>
      <c r="P90" s="77" t="s">
        <v>43</v>
      </c>
      <c r="R90" s="9"/>
      <c r="S90" s="9" t="s">
        <v>459</v>
      </c>
    </row>
    <row r="1048541" spans="20:20" ht="14.45">
      <c r="T1048541" s="14" t="s">
        <v>122</v>
      </c>
    </row>
  </sheetData>
  <sheetProtection sheet="1" objects="1" scenarios="1"/>
  <autoFilter ref="A3:V3" xr:uid="{EEC9612A-3809-49FB-96CB-D58D365C6DB4}">
    <sortState xmlns:xlrd2="http://schemas.microsoft.com/office/spreadsheetml/2017/richdata2" ref="A4:V90">
      <sortCondition ref="C3"/>
    </sortState>
  </autoFilter>
  <mergeCells count="5">
    <mergeCell ref="B2:E2"/>
    <mergeCell ref="F2:H2"/>
    <mergeCell ref="I2:K2"/>
    <mergeCell ref="Q2:T2"/>
    <mergeCell ref="U2:V2"/>
  </mergeCells>
  <conditionalFormatting sqref="J78:K89 J90">
    <cfRule type="cellIs" dxfId="19" priority="1" operator="equal">
      <formula>"No"</formula>
    </cfRule>
    <cfRule type="cellIs" dxfId="18" priority="2" operator="equal">
      <formula>"Yes"</formula>
    </cfRule>
  </conditionalFormatting>
  <conditionalFormatting sqref="J4:L77">
    <cfRule type="cellIs" dxfId="17" priority="9" operator="equal">
      <formula>"No"</formula>
    </cfRule>
    <cfRule type="cellIs" dxfId="16" priority="10" operator="equal">
      <formula>"Yes"</formula>
    </cfRule>
  </conditionalFormatting>
  <conditionalFormatting sqref="M4:M77">
    <cfRule type="cellIs" dxfId="15" priority="17" operator="equal">
      <formula>"Not Needed"</formula>
    </cfRule>
    <cfRule type="cellIs" dxfId="14" priority="30" operator="equal">
      <formula>"Completed"</formula>
    </cfRule>
  </conditionalFormatting>
  <conditionalFormatting sqref="M4:N64 M66:N66">
    <cfRule type="cellIs" dxfId="13" priority="38" operator="equal">
      <formula>"Medium"</formula>
    </cfRule>
    <cfRule type="cellIs" dxfId="12" priority="39" operator="equal">
      <formula>"Low"</formula>
    </cfRule>
    <cfRule type="cellIs" dxfId="11" priority="40" operator="equal">
      <formula>"High"</formula>
    </cfRule>
  </conditionalFormatting>
  <conditionalFormatting sqref="N4:N77">
    <cfRule type="cellIs" dxfId="10" priority="33" operator="equal">
      <formula>"POC/Assessment In Progress"</formula>
    </cfRule>
    <cfRule type="cellIs" dxfId="9" priority="34" operator="equal">
      <formula>"On Hold"</formula>
    </cfRule>
    <cfRule type="cellIs" dxfId="8" priority="35" operator="equal">
      <formula>"Not Applicable"</formula>
    </cfRule>
    <cfRule type="cellIs" dxfId="7" priority="36" operator="equal">
      <formula>"POC Compelete - Not Proceeding"</formula>
    </cfRule>
    <cfRule type="cellIs" dxfId="6" priority="37" operator="equal">
      <formula>"POC Compete - Proceeding Ahead"</formula>
    </cfRule>
  </conditionalFormatting>
  <conditionalFormatting sqref="N62">
    <cfRule type="cellIs" dxfId="5" priority="24" operator="equal">
      <formula>"Medium"</formula>
    </cfRule>
    <cfRule type="cellIs" dxfId="4" priority="25" operator="equal">
      <formula>"Low"</formula>
    </cfRule>
    <cfRule type="cellIs" dxfId="3" priority="26" operator="equal">
      <formula>"High"</formula>
    </cfRule>
  </conditionalFormatting>
  <conditionalFormatting sqref="N64:N77 M65 M67:M77">
    <cfRule type="cellIs" dxfId="2" priority="21" operator="equal">
      <formula>"Medium"</formula>
    </cfRule>
    <cfRule type="cellIs" dxfId="1" priority="22" operator="equal">
      <formula>"Low"</formula>
    </cfRule>
    <cfRule type="cellIs" dxfId="0" priority="23" operator="equal">
      <formula>"High"</formula>
    </cfRule>
  </conditionalFormatting>
  <dataValidations count="1">
    <dataValidation type="list" allowBlank="1" showInputMessage="1" showErrorMessage="1" sqref="J4" xr:uid="{13FC5111-661A-42D8-A196-A844C5533462}">
      <formula1>"Select, Yes, No, NA"</formula1>
    </dataValidation>
  </dataValidations>
  <pageMargins left="0.7" right="0.7" top="0.75" bottom="0.75" header="0.3" footer="0.3"/>
  <pageSetup orientation="portrait" horizontalDpi="0" verticalDpi="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61525-5FF3-4EBF-BC0C-4959B6085BB7}">
  <sheetPr filterMode="1"/>
  <dimension ref="A1:S57"/>
  <sheetViews>
    <sheetView workbookViewId="0">
      <pane xSplit="3" ySplit="1" topLeftCell="D3" activePane="bottomRight" state="frozen"/>
      <selection pane="bottomRight" activeCell="D22" sqref="D22"/>
      <selection pane="bottomLeft"/>
      <selection pane="topRight"/>
    </sheetView>
  </sheetViews>
  <sheetFormatPr defaultColWidth="9.140625" defaultRowHeight="17.100000000000001" customHeight="1"/>
  <cols>
    <col min="1" max="1" width="12.5703125" style="101" hidden="1" customWidth="1"/>
    <col min="2" max="2" width="11" style="122" customWidth="1"/>
    <col min="3" max="3" width="43.7109375" style="101" customWidth="1"/>
    <col min="4" max="4" width="33.28515625" style="101" customWidth="1"/>
    <col min="5" max="5" width="82.5703125" style="101" customWidth="1"/>
    <col min="6" max="6" width="29.42578125" style="101" customWidth="1"/>
    <col min="7" max="7" width="9.140625" style="101" customWidth="1"/>
    <col min="8" max="9" width="23.85546875" style="101" customWidth="1"/>
    <col min="10" max="10" width="54.28515625" style="101" customWidth="1"/>
    <col min="11" max="11" width="21.7109375" style="101" customWidth="1"/>
    <col min="12" max="12" width="9.140625" style="101" customWidth="1"/>
    <col min="13" max="13" width="35.85546875" style="101" customWidth="1"/>
    <col min="14" max="14" width="9.7109375" style="101" hidden="1" customWidth="1"/>
    <col min="15" max="15" width="50.5703125" style="101" hidden="1" customWidth="1"/>
    <col min="16" max="16" width="34.42578125" style="101" customWidth="1"/>
    <col min="17" max="17" width="24.28515625" style="120" customWidth="1"/>
    <col min="18" max="18" width="30.7109375" style="101" customWidth="1"/>
    <col min="19" max="16384" width="9.140625" style="101"/>
  </cols>
  <sheetData>
    <row r="1" spans="1:19" ht="17.100000000000001" customHeight="1">
      <c r="A1" s="98" t="s">
        <v>460</v>
      </c>
      <c r="B1" s="121" t="s">
        <v>461</v>
      </c>
      <c r="C1" s="99" t="s">
        <v>462</v>
      </c>
      <c r="D1" s="99" t="s">
        <v>463</v>
      </c>
      <c r="E1" s="99" t="s">
        <v>464</v>
      </c>
      <c r="F1" s="99" t="s">
        <v>465</v>
      </c>
      <c r="G1" s="99" t="s">
        <v>466</v>
      </c>
      <c r="H1" s="99" t="s">
        <v>467</v>
      </c>
      <c r="I1" s="99" t="s">
        <v>468</v>
      </c>
      <c r="J1" s="99" t="s">
        <v>469</v>
      </c>
      <c r="K1" s="99" t="s">
        <v>470</v>
      </c>
      <c r="L1" s="99" t="s">
        <v>471</v>
      </c>
      <c r="M1" s="99" t="s">
        <v>472</v>
      </c>
      <c r="N1" s="99" t="s">
        <v>473</v>
      </c>
      <c r="O1" s="100" t="s">
        <v>474</v>
      </c>
      <c r="P1" s="99" t="s">
        <v>475</v>
      </c>
      <c r="Q1" s="119" t="s">
        <v>476</v>
      </c>
      <c r="R1" s="99" t="s">
        <v>477</v>
      </c>
    </row>
    <row r="2" spans="1:19" ht="17.100000000000001" hidden="1" customHeight="1">
      <c r="A2" s="102" t="s">
        <v>478</v>
      </c>
      <c r="B2" s="127" t="s">
        <v>461</v>
      </c>
      <c r="C2" s="115" t="s">
        <v>46</v>
      </c>
      <c r="D2" s="103"/>
      <c r="E2" s="104" t="s">
        <v>479</v>
      </c>
      <c r="F2" s="103" t="s">
        <v>480</v>
      </c>
      <c r="G2" s="103"/>
      <c r="H2" s="103" t="s">
        <v>481</v>
      </c>
      <c r="I2" s="103" t="s">
        <v>482</v>
      </c>
      <c r="J2" s="103" t="s">
        <v>483</v>
      </c>
      <c r="K2" s="103"/>
      <c r="L2" s="103"/>
      <c r="M2" s="103"/>
      <c r="N2" s="103" t="s">
        <v>484</v>
      </c>
      <c r="O2" s="105" t="s">
        <v>485</v>
      </c>
      <c r="S2" s="101" t="s">
        <v>486</v>
      </c>
    </row>
    <row r="3" spans="1:19" ht="17.100000000000001" customHeight="1">
      <c r="A3" s="106" t="s">
        <v>487</v>
      </c>
      <c r="C3" s="113" t="s">
        <v>57</v>
      </c>
      <c r="D3" s="107" t="s">
        <v>488</v>
      </c>
      <c r="E3" s="108" t="s">
        <v>489</v>
      </c>
      <c r="F3" s="107" t="s">
        <v>490</v>
      </c>
      <c r="G3" s="107"/>
      <c r="H3" s="107" t="s">
        <v>491</v>
      </c>
      <c r="I3" s="103" t="s">
        <v>492</v>
      </c>
      <c r="J3" s="107" t="s">
        <v>493</v>
      </c>
      <c r="K3" s="126" t="s">
        <v>494</v>
      </c>
      <c r="L3" s="107"/>
      <c r="M3" s="107" t="s">
        <v>78</v>
      </c>
      <c r="N3" s="107" t="s">
        <v>484</v>
      </c>
      <c r="O3" s="109" t="s">
        <v>485</v>
      </c>
      <c r="P3" s="101" t="s">
        <v>495</v>
      </c>
      <c r="R3" s="101" t="s">
        <v>496</v>
      </c>
      <c r="S3" s="101" t="s">
        <v>497</v>
      </c>
    </row>
    <row r="4" spans="1:19" ht="17.100000000000001" customHeight="1">
      <c r="A4" s="102" t="s">
        <v>498</v>
      </c>
      <c r="C4" s="125" t="s">
        <v>73</v>
      </c>
      <c r="D4" s="103" t="s">
        <v>499</v>
      </c>
      <c r="E4" s="104" t="s">
        <v>500</v>
      </c>
      <c r="F4" s="103" t="s">
        <v>490</v>
      </c>
      <c r="G4" s="103"/>
      <c r="H4" s="103" t="s">
        <v>491</v>
      </c>
      <c r="I4" s="103" t="s">
        <v>80</v>
      </c>
      <c r="J4" s="103" t="s">
        <v>501</v>
      </c>
      <c r="K4" s="103"/>
      <c r="L4" s="103"/>
      <c r="M4" s="103" t="s">
        <v>78</v>
      </c>
      <c r="N4" s="103" t="s">
        <v>484</v>
      </c>
      <c r="O4" s="105" t="s">
        <v>485</v>
      </c>
      <c r="P4" s="101" t="s">
        <v>502</v>
      </c>
      <c r="Q4" s="120" t="s">
        <v>503</v>
      </c>
      <c r="S4" s="101" t="s">
        <v>504</v>
      </c>
    </row>
    <row r="5" spans="1:19" ht="17.100000000000001" customHeight="1">
      <c r="A5" s="106" t="s">
        <v>505</v>
      </c>
      <c r="C5" s="113" t="s">
        <v>83</v>
      </c>
      <c r="D5" s="103" t="s">
        <v>499</v>
      </c>
      <c r="E5" s="108" t="s">
        <v>506</v>
      </c>
      <c r="F5" s="107" t="s">
        <v>490</v>
      </c>
      <c r="G5" s="107"/>
      <c r="H5" s="107"/>
      <c r="I5" s="103" t="s">
        <v>80</v>
      </c>
      <c r="J5" s="107" t="s">
        <v>80</v>
      </c>
      <c r="K5" s="110" t="s">
        <v>507</v>
      </c>
      <c r="L5" s="107"/>
      <c r="M5" s="107"/>
      <c r="N5" s="107" t="s">
        <v>484</v>
      </c>
      <c r="O5" s="109" t="s">
        <v>485</v>
      </c>
      <c r="P5" s="101" t="s">
        <v>502</v>
      </c>
      <c r="Q5" s="120" t="s">
        <v>80</v>
      </c>
      <c r="R5" s="101" t="s">
        <v>496</v>
      </c>
      <c r="S5" s="101" t="s">
        <v>496</v>
      </c>
    </row>
    <row r="6" spans="1:19" ht="33.75" hidden="1" customHeight="1">
      <c r="A6" s="102" t="s">
        <v>508</v>
      </c>
      <c r="B6" s="122" t="s">
        <v>509</v>
      </c>
      <c r="C6" s="114" t="s">
        <v>91</v>
      </c>
      <c r="D6" s="103" t="s">
        <v>74</v>
      </c>
      <c r="E6" s="104" t="s">
        <v>510</v>
      </c>
      <c r="F6" s="103" t="s">
        <v>480</v>
      </c>
      <c r="G6" s="103"/>
      <c r="H6" s="103" t="s">
        <v>481</v>
      </c>
      <c r="I6" s="103"/>
      <c r="J6" s="103" t="s">
        <v>80</v>
      </c>
      <c r="K6" s="111" t="s">
        <v>507</v>
      </c>
      <c r="L6" s="103"/>
      <c r="M6" s="103"/>
      <c r="N6" s="103" t="s">
        <v>484</v>
      </c>
      <c r="O6" s="105" t="s">
        <v>485</v>
      </c>
      <c r="P6" t="s">
        <v>511</v>
      </c>
    </row>
    <row r="7" spans="1:19" ht="17.100000000000001" customHeight="1">
      <c r="A7" s="106" t="s">
        <v>512</v>
      </c>
      <c r="C7" s="113" t="s">
        <v>99</v>
      </c>
      <c r="D7" s="107" t="s">
        <v>488</v>
      </c>
      <c r="E7" s="108" t="s">
        <v>513</v>
      </c>
      <c r="F7" s="107" t="s">
        <v>514</v>
      </c>
      <c r="G7" s="107"/>
      <c r="H7" s="107" t="s">
        <v>491</v>
      </c>
      <c r="I7" s="103" t="s">
        <v>515</v>
      </c>
      <c r="J7" s="107" t="s">
        <v>516</v>
      </c>
      <c r="K7" s="110" t="s">
        <v>507</v>
      </c>
      <c r="L7" s="107"/>
      <c r="M7" s="107" t="s">
        <v>517</v>
      </c>
      <c r="N7" s="107" t="s">
        <v>484</v>
      </c>
      <c r="O7" s="109" t="s">
        <v>485</v>
      </c>
      <c r="R7" s="101" t="s">
        <v>504</v>
      </c>
    </row>
    <row r="8" spans="1:19" ht="33.75" hidden="1" customHeight="1">
      <c r="A8" s="102" t="s">
        <v>518</v>
      </c>
      <c r="B8" s="122" t="s">
        <v>509</v>
      </c>
      <c r="C8" s="115" t="s">
        <v>104</v>
      </c>
      <c r="D8" s="103" t="s">
        <v>106</v>
      </c>
      <c r="E8" s="104" t="s">
        <v>108</v>
      </c>
      <c r="F8" s="103" t="s">
        <v>490</v>
      </c>
      <c r="G8" s="103"/>
      <c r="H8" s="103"/>
      <c r="I8" s="103"/>
      <c r="J8" s="103"/>
      <c r="K8" s="111" t="s">
        <v>507</v>
      </c>
      <c r="L8" s="103"/>
      <c r="M8" s="103"/>
      <c r="N8" s="103" t="s">
        <v>484</v>
      </c>
      <c r="O8" s="105" t="s">
        <v>485</v>
      </c>
      <c r="P8" s="101" t="s">
        <v>502</v>
      </c>
    </row>
    <row r="9" spans="1:19" ht="33.75" hidden="1" customHeight="1">
      <c r="A9" s="106" t="s">
        <v>519</v>
      </c>
      <c r="B9" s="122" t="s">
        <v>509</v>
      </c>
      <c r="C9" s="116" t="s">
        <v>520</v>
      </c>
      <c r="D9" s="107" t="s">
        <v>106</v>
      </c>
      <c r="E9" s="108" t="s">
        <v>521</v>
      </c>
      <c r="F9" s="107" t="s">
        <v>490</v>
      </c>
      <c r="G9" s="107"/>
      <c r="H9" s="107"/>
      <c r="I9" s="107"/>
      <c r="J9" s="107"/>
      <c r="K9" s="110" t="s">
        <v>507</v>
      </c>
      <c r="L9" s="107"/>
      <c r="M9" s="107"/>
      <c r="N9" s="107" t="s">
        <v>484</v>
      </c>
      <c r="O9" s="109" t="s">
        <v>485</v>
      </c>
      <c r="P9" s="101" t="s">
        <v>495</v>
      </c>
    </row>
    <row r="10" spans="1:19" ht="17.100000000000001" hidden="1" customHeight="1">
      <c r="A10" s="102" t="s">
        <v>522</v>
      </c>
      <c r="B10" s="127" t="s">
        <v>461</v>
      </c>
      <c r="C10" s="115" t="s">
        <v>125</v>
      </c>
      <c r="D10" s="103"/>
      <c r="E10" s="104" t="s">
        <v>523</v>
      </c>
      <c r="F10" s="103" t="s">
        <v>514</v>
      </c>
      <c r="G10" s="103"/>
      <c r="H10" s="103"/>
      <c r="I10" s="103"/>
      <c r="J10" s="103" t="s">
        <v>524</v>
      </c>
      <c r="K10" s="111" t="s">
        <v>507</v>
      </c>
      <c r="L10" s="103"/>
      <c r="M10" s="103" t="s">
        <v>525</v>
      </c>
      <c r="N10" s="103" t="s">
        <v>484</v>
      </c>
      <c r="O10" s="105" t="s">
        <v>485</v>
      </c>
      <c r="R10" s="101" t="s">
        <v>486</v>
      </c>
    </row>
    <row r="11" spans="1:19" ht="17.100000000000001" hidden="1" customHeight="1">
      <c r="A11" s="106" t="s">
        <v>526</v>
      </c>
      <c r="B11" s="127" t="s">
        <v>461</v>
      </c>
      <c r="C11" s="116" t="s">
        <v>130</v>
      </c>
      <c r="D11" s="107" t="s">
        <v>106</v>
      </c>
      <c r="E11" s="108" t="s">
        <v>527</v>
      </c>
      <c r="F11" s="107" t="s">
        <v>480</v>
      </c>
      <c r="G11" s="107"/>
      <c r="H11" s="107"/>
      <c r="I11" s="107"/>
      <c r="J11" s="107" t="s">
        <v>528</v>
      </c>
      <c r="K11" s="110" t="s">
        <v>507</v>
      </c>
      <c r="L11" s="107"/>
      <c r="M11" s="107"/>
      <c r="N11" s="107" t="s">
        <v>484</v>
      </c>
      <c r="O11" s="109" t="s">
        <v>485</v>
      </c>
    </row>
    <row r="12" spans="1:19" ht="17.100000000000001" hidden="1" customHeight="1">
      <c r="A12" s="102" t="s">
        <v>529</v>
      </c>
      <c r="B12" s="127" t="s">
        <v>461</v>
      </c>
      <c r="C12" s="115" t="s">
        <v>135</v>
      </c>
      <c r="D12" s="103" t="s">
        <v>136</v>
      </c>
      <c r="E12" s="104" t="s">
        <v>530</v>
      </c>
      <c r="F12" s="103" t="s">
        <v>480</v>
      </c>
      <c r="G12" s="103"/>
      <c r="H12" s="103" t="s">
        <v>481</v>
      </c>
      <c r="I12" s="103"/>
      <c r="J12" s="103" t="s">
        <v>531</v>
      </c>
      <c r="K12" s="111" t="s">
        <v>507</v>
      </c>
      <c r="L12" s="103"/>
      <c r="M12" s="103"/>
      <c r="N12" s="103" t="s">
        <v>484</v>
      </c>
      <c r="O12" s="105" t="s">
        <v>485</v>
      </c>
    </row>
    <row r="13" spans="1:19" ht="33.75" hidden="1" customHeight="1">
      <c r="A13" s="106" t="s">
        <v>532</v>
      </c>
      <c r="B13" s="122" t="s">
        <v>509</v>
      </c>
      <c r="C13" s="116" t="s">
        <v>147</v>
      </c>
      <c r="D13" s="107" t="s">
        <v>106</v>
      </c>
      <c r="E13" s="108" t="s">
        <v>533</v>
      </c>
      <c r="F13" s="107" t="s">
        <v>480</v>
      </c>
      <c r="G13" s="107"/>
      <c r="H13" s="107" t="s">
        <v>491</v>
      </c>
      <c r="I13" s="107"/>
      <c r="J13" s="107" t="s">
        <v>528</v>
      </c>
      <c r="K13" s="110" t="s">
        <v>507</v>
      </c>
      <c r="L13" s="107"/>
      <c r="M13" s="107" t="s">
        <v>78</v>
      </c>
      <c r="N13" s="107" t="s">
        <v>484</v>
      </c>
      <c r="O13" s="109" t="s">
        <v>485</v>
      </c>
    </row>
    <row r="14" spans="1:19" ht="17.100000000000001" hidden="1" customHeight="1">
      <c r="A14" s="102" t="s">
        <v>534</v>
      </c>
      <c r="B14" s="127" t="s">
        <v>461</v>
      </c>
      <c r="C14" s="115" t="s">
        <v>535</v>
      </c>
      <c r="D14" s="103" t="s">
        <v>136</v>
      </c>
      <c r="E14" s="104" t="s">
        <v>536</v>
      </c>
      <c r="F14" s="103" t="s">
        <v>480</v>
      </c>
      <c r="G14" s="103"/>
      <c r="H14" s="103" t="s">
        <v>491</v>
      </c>
      <c r="I14" s="103"/>
      <c r="J14" s="103" t="s">
        <v>537</v>
      </c>
      <c r="K14" s="111" t="s">
        <v>507</v>
      </c>
      <c r="L14" s="103"/>
      <c r="M14" s="103" t="s">
        <v>538</v>
      </c>
      <c r="N14" s="103" t="s">
        <v>484</v>
      </c>
      <c r="O14" s="105" t="s">
        <v>485</v>
      </c>
      <c r="P14" s="101" t="s">
        <v>539</v>
      </c>
    </row>
    <row r="15" spans="1:19" ht="33.75" hidden="1" customHeight="1">
      <c r="A15" s="106" t="s">
        <v>540</v>
      </c>
      <c r="B15" s="122" t="s">
        <v>509</v>
      </c>
      <c r="C15" s="116" t="s">
        <v>159</v>
      </c>
      <c r="D15" s="107" t="s">
        <v>488</v>
      </c>
      <c r="E15" s="108" t="s">
        <v>541</v>
      </c>
      <c r="F15" s="107" t="s">
        <v>514</v>
      </c>
      <c r="G15" s="107"/>
      <c r="H15" s="107" t="s">
        <v>491</v>
      </c>
      <c r="I15" s="107"/>
      <c r="J15" s="107" t="s">
        <v>542</v>
      </c>
      <c r="K15" s="110" t="s">
        <v>507</v>
      </c>
      <c r="L15" s="107"/>
      <c r="M15" s="107" t="s">
        <v>543</v>
      </c>
      <c r="N15" s="107" t="s">
        <v>484</v>
      </c>
      <c r="O15" s="109" t="s">
        <v>485</v>
      </c>
    </row>
    <row r="16" spans="1:19" ht="33.75" hidden="1" customHeight="1">
      <c r="A16" s="102" t="s">
        <v>544</v>
      </c>
      <c r="B16" s="122" t="s">
        <v>509</v>
      </c>
      <c r="C16" s="115" t="s">
        <v>177</v>
      </c>
      <c r="D16" s="103" t="s">
        <v>136</v>
      </c>
      <c r="E16" s="104" t="s">
        <v>545</v>
      </c>
      <c r="F16" s="103" t="s">
        <v>514</v>
      </c>
      <c r="G16" s="103"/>
      <c r="H16" s="103" t="s">
        <v>491</v>
      </c>
      <c r="I16" s="103"/>
      <c r="J16" s="103" t="s">
        <v>546</v>
      </c>
      <c r="K16" s="111" t="s">
        <v>507</v>
      </c>
      <c r="L16" s="103"/>
      <c r="M16" s="103" t="s">
        <v>543</v>
      </c>
      <c r="N16" s="103" t="s">
        <v>484</v>
      </c>
      <c r="O16" s="105" t="s">
        <v>485</v>
      </c>
    </row>
    <row r="17" spans="1:18" ht="33.75" hidden="1" customHeight="1">
      <c r="A17" s="106" t="s">
        <v>547</v>
      </c>
      <c r="B17" s="122" t="s">
        <v>509</v>
      </c>
      <c r="C17" s="116" t="s">
        <v>548</v>
      </c>
      <c r="D17" s="107" t="s">
        <v>106</v>
      </c>
      <c r="E17" s="108" t="s">
        <v>549</v>
      </c>
      <c r="F17" s="107" t="s">
        <v>514</v>
      </c>
      <c r="G17" s="107"/>
      <c r="H17" s="107" t="s">
        <v>491</v>
      </c>
      <c r="I17" s="107"/>
      <c r="J17" s="107" t="s">
        <v>550</v>
      </c>
      <c r="K17" s="110" t="s">
        <v>507</v>
      </c>
      <c r="L17" s="107"/>
      <c r="M17" s="107" t="s">
        <v>551</v>
      </c>
      <c r="N17" s="107" t="s">
        <v>484</v>
      </c>
      <c r="O17" s="109" t="s">
        <v>485</v>
      </c>
    </row>
    <row r="18" spans="1:18" ht="17.100000000000001" customHeight="1">
      <c r="A18" s="102" t="s">
        <v>552</v>
      </c>
      <c r="C18" s="125" t="s">
        <v>553</v>
      </c>
      <c r="D18" s="103" t="s">
        <v>554</v>
      </c>
      <c r="E18" s="104" t="s">
        <v>555</v>
      </c>
      <c r="F18" s="103" t="s">
        <v>490</v>
      </c>
      <c r="G18" s="111" t="s">
        <v>556</v>
      </c>
      <c r="H18" s="103" t="s">
        <v>491</v>
      </c>
      <c r="I18" s="103"/>
      <c r="J18" s="103" t="s">
        <v>550</v>
      </c>
      <c r="K18" s="111" t="s">
        <v>507</v>
      </c>
      <c r="L18" s="103"/>
      <c r="M18" s="103" t="s">
        <v>78</v>
      </c>
      <c r="N18" s="103" t="s">
        <v>484</v>
      </c>
      <c r="O18" s="105" t="s">
        <v>485</v>
      </c>
      <c r="P18" s="101" t="s">
        <v>495</v>
      </c>
      <c r="R18" s="101" t="s">
        <v>497</v>
      </c>
    </row>
    <row r="19" spans="1:18" ht="17.100000000000001" hidden="1" customHeight="1">
      <c r="A19" s="106" t="s">
        <v>557</v>
      </c>
      <c r="B19" s="127" t="s">
        <v>461</v>
      </c>
      <c r="C19" s="113" t="s">
        <v>198</v>
      </c>
      <c r="D19" s="103"/>
      <c r="E19" s="108" t="s">
        <v>558</v>
      </c>
      <c r="F19" s="107" t="s">
        <v>514</v>
      </c>
      <c r="G19" s="107"/>
      <c r="H19" s="107"/>
      <c r="I19" s="107"/>
      <c r="J19" s="107"/>
      <c r="K19" s="110" t="s">
        <v>507</v>
      </c>
      <c r="L19" s="107"/>
      <c r="M19" s="107" t="s">
        <v>559</v>
      </c>
      <c r="N19" s="107" t="s">
        <v>484</v>
      </c>
      <c r="O19" s="109" t="s">
        <v>485</v>
      </c>
      <c r="R19" s="101" t="s">
        <v>486</v>
      </c>
    </row>
    <row r="20" spans="1:18" ht="17.100000000000001" customHeight="1">
      <c r="A20" s="102" t="s">
        <v>560</v>
      </c>
      <c r="C20" s="112" t="s">
        <v>561</v>
      </c>
      <c r="D20" s="103" t="s">
        <v>562</v>
      </c>
      <c r="E20" s="104" t="s">
        <v>563</v>
      </c>
      <c r="F20" s="103" t="s">
        <v>490</v>
      </c>
      <c r="G20" s="111" t="s">
        <v>561</v>
      </c>
      <c r="H20" s="103" t="s">
        <v>491</v>
      </c>
      <c r="I20" s="103"/>
      <c r="J20" s="103" t="s">
        <v>564</v>
      </c>
      <c r="K20" s="103"/>
      <c r="L20" s="103" t="s">
        <v>565</v>
      </c>
      <c r="M20" s="103" t="s">
        <v>566</v>
      </c>
      <c r="N20" s="103" t="s">
        <v>484</v>
      </c>
      <c r="O20" s="105" t="s">
        <v>485</v>
      </c>
      <c r="P20" s="101" t="s">
        <v>567</v>
      </c>
      <c r="R20" s="101" t="s">
        <v>486</v>
      </c>
    </row>
    <row r="21" spans="1:18" ht="17.100000000000001" customHeight="1">
      <c r="A21" s="106" t="s">
        <v>568</v>
      </c>
      <c r="C21" s="113" t="s">
        <v>211</v>
      </c>
      <c r="D21" s="103" t="s">
        <v>569</v>
      </c>
      <c r="E21" s="108" t="s">
        <v>570</v>
      </c>
      <c r="F21" s="107" t="s">
        <v>490</v>
      </c>
      <c r="G21" s="107"/>
      <c r="H21" s="107" t="s">
        <v>491</v>
      </c>
      <c r="I21" s="107"/>
      <c r="J21" s="107" t="s">
        <v>571</v>
      </c>
      <c r="K21" s="110" t="s">
        <v>507</v>
      </c>
      <c r="L21" s="107"/>
      <c r="M21" s="107"/>
      <c r="N21" s="107" t="s">
        <v>484</v>
      </c>
      <c r="O21" s="109" t="s">
        <v>485</v>
      </c>
      <c r="P21" s="101" t="s">
        <v>495</v>
      </c>
      <c r="R21" s="101" t="s">
        <v>496</v>
      </c>
    </row>
    <row r="22" spans="1:18" ht="17.100000000000001" customHeight="1">
      <c r="A22" s="102" t="s">
        <v>572</v>
      </c>
      <c r="C22" s="112" t="s">
        <v>227</v>
      </c>
      <c r="D22" s="103" t="s">
        <v>499</v>
      </c>
      <c r="E22" s="104" t="s">
        <v>573</v>
      </c>
      <c r="F22" s="103" t="s">
        <v>480</v>
      </c>
      <c r="G22" s="103"/>
      <c r="H22" s="103" t="s">
        <v>481</v>
      </c>
      <c r="I22" s="103"/>
      <c r="J22" s="103"/>
      <c r="K22" s="111" t="s">
        <v>507</v>
      </c>
      <c r="L22" s="103"/>
      <c r="M22" s="103"/>
      <c r="N22" s="103" t="s">
        <v>484</v>
      </c>
      <c r="O22" s="105" t="s">
        <v>485</v>
      </c>
    </row>
    <row r="23" spans="1:18" ht="17.100000000000001" hidden="1" customHeight="1">
      <c r="A23" s="106" t="s">
        <v>574</v>
      </c>
      <c r="B23" s="127" t="s">
        <v>461</v>
      </c>
      <c r="C23" s="116" t="s">
        <v>231</v>
      </c>
      <c r="D23" s="103" t="s">
        <v>569</v>
      </c>
      <c r="E23" s="108" t="s">
        <v>575</v>
      </c>
      <c r="F23" s="107" t="s">
        <v>514</v>
      </c>
      <c r="G23" s="107"/>
      <c r="H23" s="107" t="s">
        <v>491</v>
      </c>
      <c r="I23" s="107"/>
      <c r="J23" s="107" t="s">
        <v>576</v>
      </c>
      <c r="K23" s="110" t="s">
        <v>507</v>
      </c>
      <c r="L23" s="107"/>
      <c r="M23" s="107" t="s">
        <v>577</v>
      </c>
      <c r="N23" s="107" t="s">
        <v>484</v>
      </c>
      <c r="O23" s="109" t="s">
        <v>485</v>
      </c>
      <c r="R23" s="101" t="s">
        <v>504</v>
      </c>
    </row>
    <row r="24" spans="1:18" ht="33.75" hidden="1" customHeight="1">
      <c r="A24" s="102" t="s">
        <v>578</v>
      </c>
      <c r="B24" s="122" t="s">
        <v>509</v>
      </c>
      <c r="C24" s="115" t="s">
        <v>579</v>
      </c>
      <c r="D24" s="103" t="s">
        <v>136</v>
      </c>
      <c r="E24" s="104" t="s">
        <v>580</v>
      </c>
      <c r="F24" s="103" t="s">
        <v>514</v>
      </c>
      <c r="G24" s="103"/>
      <c r="H24" s="103"/>
      <c r="I24" s="103"/>
      <c r="J24" s="103" t="s">
        <v>581</v>
      </c>
      <c r="K24" s="111" t="s">
        <v>507</v>
      </c>
      <c r="L24" s="103"/>
      <c r="M24" s="103" t="s">
        <v>582</v>
      </c>
      <c r="N24" s="103" t="s">
        <v>484</v>
      </c>
      <c r="O24" s="105" t="s">
        <v>485</v>
      </c>
    </row>
    <row r="25" spans="1:18" ht="17.100000000000001" hidden="1" customHeight="1">
      <c r="A25" s="106" t="s">
        <v>583</v>
      </c>
      <c r="B25" s="127" t="s">
        <v>461</v>
      </c>
      <c r="C25" s="116" t="s">
        <v>239</v>
      </c>
      <c r="D25" s="107" t="s">
        <v>74</v>
      </c>
      <c r="E25" s="108" t="s">
        <v>584</v>
      </c>
      <c r="F25" s="107" t="s">
        <v>480</v>
      </c>
      <c r="G25" s="107"/>
      <c r="H25" s="107" t="s">
        <v>481</v>
      </c>
      <c r="I25" s="107"/>
      <c r="J25" s="107" t="s">
        <v>585</v>
      </c>
      <c r="K25" s="110" t="s">
        <v>507</v>
      </c>
      <c r="L25" s="107"/>
      <c r="M25" s="107"/>
      <c r="N25" s="107" t="s">
        <v>484</v>
      </c>
      <c r="O25" s="109" t="s">
        <v>485</v>
      </c>
    </row>
    <row r="26" spans="1:18" ht="17.100000000000001" customHeight="1">
      <c r="A26" s="102" t="s">
        <v>586</v>
      </c>
      <c r="B26" s="127"/>
      <c r="C26" s="112" t="s">
        <v>243</v>
      </c>
      <c r="D26" s="103" t="s">
        <v>569</v>
      </c>
      <c r="E26" s="104" t="s">
        <v>587</v>
      </c>
      <c r="F26" s="103" t="s">
        <v>480</v>
      </c>
      <c r="G26" s="103"/>
      <c r="H26" s="103" t="s">
        <v>481</v>
      </c>
      <c r="I26" s="103"/>
      <c r="J26" s="103" t="s">
        <v>588</v>
      </c>
      <c r="K26" s="111" t="s">
        <v>507</v>
      </c>
      <c r="L26" s="103"/>
      <c r="M26" s="103"/>
      <c r="N26" s="103" t="s">
        <v>484</v>
      </c>
      <c r="O26" s="105" t="s">
        <v>485</v>
      </c>
    </row>
    <row r="27" spans="1:18" ht="33.75" hidden="1" customHeight="1">
      <c r="A27" s="106" t="s">
        <v>589</v>
      </c>
      <c r="B27" s="122" t="s">
        <v>509</v>
      </c>
      <c r="C27" s="116" t="s">
        <v>590</v>
      </c>
      <c r="D27" s="107" t="s">
        <v>488</v>
      </c>
      <c r="E27" s="108" t="s">
        <v>248</v>
      </c>
      <c r="F27" s="107" t="s">
        <v>514</v>
      </c>
      <c r="G27" s="107"/>
      <c r="H27" s="107"/>
      <c r="I27" s="107"/>
      <c r="J27" s="107" t="s">
        <v>591</v>
      </c>
      <c r="K27" s="110" t="s">
        <v>507</v>
      </c>
      <c r="L27" s="107"/>
      <c r="M27" s="107" t="s">
        <v>543</v>
      </c>
      <c r="N27" s="107" t="s">
        <v>484</v>
      </c>
      <c r="O27" s="109" t="s">
        <v>485</v>
      </c>
    </row>
    <row r="28" spans="1:18" ht="17.100000000000001" customHeight="1">
      <c r="A28" s="102" t="s">
        <v>592</v>
      </c>
      <c r="C28" s="112" t="s">
        <v>593</v>
      </c>
      <c r="D28" s="103" t="s">
        <v>562</v>
      </c>
      <c r="E28" s="104" t="s">
        <v>594</v>
      </c>
      <c r="F28" s="103" t="s">
        <v>490</v>
      </c>
      <c r="G28" s="111" t="s">
        <v>593</v>
      </c>
      <c r="H28" s="103" t="s">
        <v>491</v>
      </c>
      <c r="I28" s="103"/>
      <c r="J28" s="103" t="s">
        <v>595</v>
      </c>
      <c r="K28" s="103"/>
      <c r="L28" s="103"/>
      <c r="M28" s="103" t="s">
        <v>78</v>
      </c>
      <c r="N28" s="103" t="s">
        <v>484</v>
      </c>
      <c r="O28" s="105" t="s">
        <v>485</v>
      </c>
      <c r="P28" s="101" t="s">
        <v>495</v>
      </c>
      <c r="R28" s="101" t="s">
        <v>486</v>
      </c>
    </row>
    <row r="29" spans="1:18" ht="33.75" hidden="1" customHeight="1">
      <c r="A29" s="106" t="s">
        <v>596</v>
      </c>
      <c r="B29" s="122" t="s">
        <v>509</v>
      </c>
      <c r="C29" s="116" t="s">
        <v>597</v>
      </c>
      <c r="D29" s="107" t="s">
        <v>106</v>
      </c>
      <c r="E29" s="108" t="s">
        <v>598</v>
      </c>
      <c r="F29" s="107" t="s">
        <v>514</v>
      </c>
      <c r="G29" s="107"/>
      <c r="H29" s="107" t="s">
        <v>491</v>
      </c>
      <c r="I29" s="107"/>
      <c r="J29" s="107"/>
      <c r="K29" s="110" t="s">
        <v>507</v>
      </c>
      <c r="L29" s="107"/>
      <c r="M29" s="107" t="s">
        <v>551</v>
      </c>
      <c r="N29" s="107" t="s">
        <v>484</v>
      </c>
      <c r="O29" s="109" t="s">
        <v>485</v>
      </c>
    </row>
    <row r="30" spans="1:18" ht="17.100000000000001" hidden="1" customHeight="1">
      <c r="A30" s="102" t="s">
        <v>599</v>
      </c>
      <c r="B30" s="127" t="s">
        <v>461</v>
      </c>
      <c r="C30" s="115" t="s">
        <v>266</v>
      </c>
      <c r="D30" s="103" t="s">
        <v>136</v>
      </c>
      <c r="E30" s="104" t="s">
        <v>600</v>
      </c>
      <c r="F30" s="103" t="s">
        <v>514</v>
      </c>
      <c r="G30" s="103"/>
      <c r="H30" s="103" t="s">
        <v>491</v>
      </c>
      <c r="I30" s="103"/>
      <c r="J30" s="103" t="s">
        <v>601</v>
      </c>
      <c r="K30" s="111" t="s">
        <v>507</v>
      </c>
      <c r="L30" s="103"/>
      <c r="M30" s="103" t="s">
        <v>602</v>
      </c>
      <c r="N30" s="103" t="s">
        <v>484</v>
      </c>
      <c r="O30" s="105" t="s">
        <v>485</v>
      </c>
      <c r="R30" s="101" t="s">
        <v>603</v>
      </c>
    </row>
    <row r="31" spans="1:18" ht="17.100000000000001" hidden="1" customHeight="1">
      <c r="A31" s="106" t="s">
        <v>604</v>
      </c>
      <c r="B31" s="127" t="s">
        <v>461</v>
      </c>
      <c r="C31" s="117" t="s">
        <v>271</v>
      </c>
      <c r="D31" s="103" t="s">
        <v>569</v>
      </c>
      <c r="E31" s="108" t="s">
        <v>605</v>
      </c>
      <c r="F31" s="107" t="s">
        <v>480</v>
      </c>
      <c r="G31" s="107"/>
      <c r="H31" s="107" t="s">
        <v>481</v>
      </c>
      <c r="I31" s="107"/>
      <c r="J31" s="107"/>
      <c r="K31" s="110" t="s">
        <v>507</v>
      </c>
      <c r="L31" s="107"/>
      <c r="M31" s="107"/>
      <c r="N31" s="107" t="s">
        <v>484</v>
      </c>
      <c r="O31" s="109" t="s">
        <v>485</v>
      </c>
    </row>
    <row r="32" spans="1:18" ht="17.100000000000001" hidden="1" customHeight="1">
      <c r="A32" s="102" t="s">
        <v>606</v>
      </c>
      <c r="B32" s="127" t="s">
        <v>461</v>
      </c>
      <c r="C32" s="115" t="s">
        <v>275</v>
      </c>
      <c r="D32" s="103" t="s">
        <v>136</v>
      </c>
      <c r="E32" s="104" t="s">
        <v>607</v>
      </c>
      <c r="F32" s="103" t="s">
        <v>514</v>
      </c>
      <c r="G32" s="103"/>
      <c r="H32" s="103" t="s">
        <v>491</v>
      </c>
      <c r="I32" s="103"/>
      <c r="J32" s="103" t="s">
        <v>608</v>
      </c>
      <c r="K32" s="111" t="s">
        <v>507</v>
      </c>
      <c r="L32" s="103"/>
      <c r="M32" s="103" t="s">
        <v>602</v>
      </c>
      <c r="N32" s="103" t="s">
        <v>484</v>
      </c>
      <c r="O32" s="105" t="s">
        <v>485</v>
      </c>
      <c r="R32" s="101" t="s">
        <v>603</v>
      </c>
    </row>
    <row r="33" spans="1:18" ht="17.100000000000001" hidden="1" customHeight="1">
      <c r="A33" s="106" t="s">
        <v>609</v>
      </c>
      <c r="B33" s="127" t="s">
        <v>461</v>
      </c>
      <c r="C33" s="113" t="s">
        <v>280</v>
      </c>
      <c r="D33" s="107" t="s">
        <v>136</v>
      </c>
      <c r="E33" s="108" t="s">
        <v>610</v>
      </c>
      <c r="F33" s="107" t="s">
        <v>514</v>
      </c>
      <c r="G33" s="107"/>
      <c r="H33" s="107"/>
      <c r="I33" s="107"/>
      <c r="J33" s="107" t="s">
        <v>581</v>
      </c>
      <c r="K33" s="110" t="s">
        <v>507</v>
      </c>
      <c r="L33" s="107"/>
      <c r="M33" s="107" t="s">
        <v>582</v>
      </c>
      <c r="N33" s="107" t="s">
        <v>484</v>
      </c>
      <c r="O33" s="109" t="s">
        <v>485</v>
      </c>
    </row>
    <row r="34" spans="1:18" ht="17.100000000000001" customHeight="1">
      <c r="A34" s="102" t="s">
        <v>611</v>
      </c>
      <c r="C34" s="112" t="s">
        <v>295</v>
      </c>
      <c r="D34" s="103" t="s">
        <v>562</v>
      </c>
      <c r="E34" s="104" t="s">
        <v>612</v>
      </c>
      <c r="F34" s="103" t="s">
        <v>514</v>
      </c>
      <c r="G34" s="103"/>
      <c r="H34" s="103" t="s">
        <v>491</v>
      </c>
      <c r="I34" s="103"/>
      <c r="J34" s="103" t="s">
        <v>613</v>
      </c>
      <c r="K34" s="111" t="s">
        <v>507</v>
      </c>
      <c r="L34" s="103"/>
      <c r="M34" s="103" t="s">
        <v>602</v>
      </c>
      <c r="N34" s="103" t="s">
        <v>484</v>
      </c>
      <c r="O34" s="105" t="s">
        <v>485</v>
      </c>
      <c r="R34" s="101" t="s">
        <v>486</v>
      </c>
    </row>
    <row r="35" spans="1:18" ht="17.100000000000001" customHeight="1">
      <c r="A35" s="106" t="s">
        <v>614</v>
      </c>
      <c r="C35" s="113" t="s">
        <v>299</v>
      </c>
      <c r="D35" s="103" t="s">
        <v>562</v>
      </c>
      <c r="E35" s="108" t="s">
        <v>615</v>
      </c>
      <c r="F35" s="107" t="s">
        <v>514</v>
      </c>
      <c r="G35" s="107"/>
      <c r="H35" s="107" t="s">
        <v>491</v>
      </c>
      <c r="I35" s="107"/>
      <c r="J35" s="107"/>
      <c r="K35" s="110" t="s">
        <v>507</v>
      </c>
      <c r="L35" s="107"/>
      <c r="M35" s="107" t="s">
        <v>602</v>
      </c>
      <c r="N35" s="107" t="s">
        <v>484</v>
      </c>
      <c r="O35" s="109" t="s">
        <v>485</v>
      </c>
      <c r="R35" s="101" t="s">
        <v>486</v>
      </c>
    </row>
    <row r="36" spans="1:18" ht="17.100000000000001" customHeight="1">
      <c r="A36" s="102" t="s">
        <v>616</v>
      </c>
      <c r="C36" s="112" t="s">
        <v>312</v>
      </c>
      <c r="D36" s="103" t="s">
        <v>569</v>
      </c>
      <c r="E36" s="104" t="s">
        <v>617</v>
      </c>
      <c r="F36" s="103" t="s">
        <v>514</v>
      </c>
      <c r="G36" s="103"/>
      <c r="H36" s="103"/>
      <c r="I36" s="103"/>
      <c r="J36" s="103" t="s">
        <v>618</v>
      </c>
      <c r="K36" s="111" t="s">
        <v>507</v>
      </c>
      <c r="L36" s="103"/>
      <c r="M36" s="103" t="s">
        <v>619</v>
      </c>
      <c r="N36" s="103" t="s">
        <v>484</v>
      </c>
      <c r="O36" s="105" t="s">
        <v>485</v>
      </c>
      <c r="R36" s="101" t="s">
        <v>504</v>
      </c>
    </row>
    <row r="37" spans="1:18" ht="33.75" hidden="1" customHeight="1">
      <c r="A37" s="106" t="s">
        <v>620</v>
      </c>
      <c r="B37" s="122" t="s">
        <v>509</v>
      </c>
      <c r="C37" s="116" t="s">
        <v>621</v>
      </c>
      <c r="D37" s="107" t="s">
        <v>106</v>
      </c>
      <c r="E37" s="108" t="s">
        <v>622</v>
      </c>
      <c r="F37" s="107" t="s">
        <v>480</v>
      </c>
      <c r="G37" s="107"/>
      <c r="H37" s="107" t="s">
        <v>481</v>
      </c>
      <c r="I37" s="107"/>
      <c r="J37" s="107"/>
      <c r="K37" s="110" t="s">
        <v>507</v>
      </c>
      <c r="L37" s="107"/>
      <c r="M37" s="107"/>
      <c r="N37" s="107" t="s">
        <v>484</v>
      </c>
      <c r="O37" s="109" t="s">
        <v>485</v>
      </c>
    </row>
    <row r="38" spans="1:18" ht="33.75" hidden="1" customHeight="1">
      <c r="A38" s="102" t="s">
        <v>623</v>
      </c>
      <c r="B38" s="122" t="s">
        <v>509</v>
      </c>
      <c r="C38" s="115" t="s">
        <v>624</v>
      </c>
      <c r="D38" s="103" t="s">
        <v>117</v>
      </c>
      <c r="E38" s="104" t="s">
        <v>625</v>
      </c>
      <c r="F38" s="103" t="s">
        <v>514</v>
      </c>
      <c r="G38" s="103"/>
      <c r="H38" s="103"/>
      <c r="I38" s="103"/>
      <c r="J38" s="103" t="s">
        <v>626</v>
      </c>
      <c r="K38" s="111" t="s">
        <v>507</v>
      </c>
      <c r="L38" s="103"/>
      <c r="M38" s="103" t="s">
        <v>627</v>
      </c>
      <c r="N38" s="103" t="s">
        <v>484</v>
      </c>
      <c r="O38" s="105" t="s">
        <v>485</v>
      </c>
    </row>
    <row r="39" spans="1:18" ht="17.100000000000001" customHeight="1">
      <c r="A39" s="106" t="s">
        <v>628</v>
      </c>
      <c r="C39" s="113" t="s">
        <v>629</v>
      </c>
      <c r="D39" s="107" t="s">
        <v>554</v>
      </c>
      <c r="E39" s="108" t="s">
        <v>630</v>
      </c>
      <c r="F39" s="107" t="s">
        <v>490</v>
      </c>
      <c r="G39" s="107"/>
      <c r="H39" s="107" t="s">
        <v>491</v>
      </c>
      <c r="I39" s="107"/>
      <c r="J39" s="107" t="s">
        <v>631</v>
      </c>
      <c r="K39" s="107"/>
      <c r="L39" s="107"/>
      <c r="M39" s="107" t="s">
        <v>78</v>
      </c>
      <c r="N39" s="107" t="s">
        <v>484</v>
      </c>
      <c r="O39" s="109" t="s">
        <v>485</v>
      </c>
      <c r="P39" s="101" t="s">
        <v>502</v>
      </c>
      <c r="Q39" s="120" t="s">
        <v>632</v>
      </c>
      <c r="R39" s="101" t="s">
        <v>497</v>
      </c>
    </row>
    <row r="40" spans="1:18" ht="33.75" hidden="1" customHeight="1">
      <c r="A40" s="102" t="s">
        <v>633</v>
      </c>
      <c r="B40" s="122" t="s">
        <v>509</v>
      </c>
      <c r="C40" s="115" t="s">
        <v>634</v>
      </c>
      <c r="D40" s="103" t="s">
        <v>106</v>
      </c>
      <c r="E40" s="104" t="s">
        <v>635</v>
      </c>
      <c r="F40" s="103" t="s">
        <v>490</v>
      </c>
      <c r="G40" s="103"/>
      <c r="H40" s="103"/>
      <c r="I40" s="103"/>
      <c r="J40" s="103"/>
      <c r="K40" s="111" t="s">
        <v>507</v>
      </c>
      <c r="L40" s="103"/>
      <c r="M40" s="103"/>
      <c r="N40" s="103" t="s">
        <v>484</v>
      </c>
      <c r="O40" s="105" t="s">
        <v>485</v>
      </c>
      <c r="P40" s="101" t="s">
        <v>502</v>
      </c>
      <c r="Q40" s="120" t="s">
        <v>636</v>
      </c>
    </row>
    <row r="41" spans="1:18" ht="17.100000000000001" customHeight="1">
      <c r="A41" s="106" t="s">
        <v>637</v>
      </c>
      <c r="C41" s="113" t="s">
        <v>334</v>
      </c>
      <c r="D41" s="103" t="s">
        <v>562</v>
      </c>
      <c r="E41" s="108" t="s">
        <v>638</v>
      </c>
      <c r="F41" s="107" t="s">
        <v>514</v>
      </c>
      <c r="G41" s="107"/>
      <c r="H41" s="107" t="s">
        <v>481</v>
      </c>
      <c r="I41" s="107"/>
      <c r="J41" s="107" t="s">
        <v>80</v>
      </c>
      <c r="K41" s="110" t="s">
        <v>507</v>
      </c>
      <c r="L41" s="107"/>
      <c r="M41" s="107" t="s">
        <v>602</v>
      </c>
      <c r="N41" s="107" t="s">
        <v>484</v>
      </c>
      <c r="O41" s="109" t="s">
        <v>485</v>
      </c>
      <c r="R41" s="101" t="s">
        <v>486</v>
      </c>
    </row>
    <row r="42" spans="1:18" ht="17.100000000000001" hidden="1" customHeight="1">
      <c r="A42" s="102" t="s">
        <v>639</v>
      </c>
      <c r="B42" s="127" t="s">
        <v>461</v>
      </c>
      <c r="C42" s="118" t="s">
        <v>356</v>
      </c>
      <c r="D42" s="103" t="s">
        <v>569</v>
      </c>
      <c r="E42" s="104" t="s">
        <v>640</v>
      </c>
      <c r="F42" s="103" t="s">
        <v>480</v>
      </c>
      <c r="G42" s="103"/>
      <c r="H42" s="103" t="s">
        <v>481</v>
      </c>
      <c r="I42" s="103"/>
      <c r="J42" s="103" t="s">
        <v>641</v>
      </c>
      <c r="K42" s="111" t="s">
        <v>507</v>
      </c>
      <c r="L42" s="103"/>
      <c r="M42" s="103"/>
      <c r="N42" s="103" t="s">
        <v>484</v>
      </c>
      <c r="O42" s="105" t="s">
        <v>485</v>
      </c>
    </row>
    <row r="43" spans="1:18" ht="33.75" hidden="1" customHeight="1">
      <c r="A43" s="106" t="s">
        <v>642</v>
      </c>
      <c r="B43" s="122" t="s">
        <v>509</v>
      </c>
      <c r="C43" s="116" t="s">
        <v>358</v>
      </c>
      <c r="D43" s="103" t="s">
        <v>569</v>
      </c>
      <c r="E43" s="108" t="s">
        <v>361</v>
      </c>
      <c r="F43" s="107" t="s">
        <v>514</v>
      </c>
      <c r="G43" s="107"/>
      <c r="H43" s="107"/>
      <c r="I43" s="107"/>
      <c r="J43" s="107" t="s">
        <v>643</v>
      </c>
      <c r="K43" s="110" t="s">
        <v>507</v>
      </c>
      <c r="L43" s="107"/>
      <c r="M43" s="107" t="s">
        <v>619</v>
      </c>
      <c r="N43" s="107" t="s">
        <v>484</v>
      </c>
      <c r="O43" s="109" t="s">
        <v>485</v>
      </c>
    </row>
    <row r="44" spans="1:18" ht="17.100000000000001" customHeight="1">
      <c r="A44" s="102" t="s">
        <v>644</v>
      </c>
      <c r="C44" s="112" t="s">
        <v>364</v>
      </c>
      <c r="D44" s="103" t="s">
        <v>562</v>
      </c>
      <c r="E44" s="104" t="s">
        <v>645</v>
      </c>
      <c r="F44" s="103" t="s">
        <v>514</v>
      </c>
      <c r="G44" s="103"/>
      <c r="H44" s="103" t="s">
        <v>491</v>
      </c>
      <c r="I44" s="103"/>
      <c r="J44" s="103" t="s">
        <v>646</v>
      </c>
      <c r="K44" s="111" t="s">
        <v>507</v>
      </c>
      <c r="L44" s="103"/>
      <c r="M44" s="103" t="s">
        <v>551</v>
      </c>
      <c r="N44" s="103" t="s">
        <v>484</v>
      </c>
      <c r="O44" s="105" t="s">
        <v>485</v>
      </c>
      <c r="R44" s="101" t="s">
        <v>486</v>
      </c>
    </row>
    <row r="45" spans="1:18" ht="17.100000000000001" customHeight="1">
      <c r="A45" s="106" t="s">
        <v>647</v>
      </c>
      <c r="C45" s="113" t="s">
        <v>371</v>
      </c>
      <c r="D45" s="103" t="s">
        <v>562</v>
      </c>
      <c r="E45" s="108" t="s">
        <v>648</v>
      </c>
      <c r="F45" s="107" t="s">
        <v>514</v>
      </c>
      <c r="G45" s="107"/>
      <c r="H45" s="107" t="s">
        <v>491</v>
      </c>
      <c r="I45" s="107"/>
      <c r="J45" s="107" t="s">
        <v>528</v>
      </c>
      <c r="K45" s="110" t="s">
        <v>507</v>
      </c>
      <c r="L45" s="107"/>
      <c r="M45" s="107" t="s">
        <v>517</v>
      </c>
      <c r="N45" s="107" t="s">
        <v>484</v>
      </c>
      <c r="O45" s="109" t="s">
        <v>485</v>
      </c>
      <c r="R45" s="101" t="s">
        <v>486</v>
      </c>
    </row>
    <row r="46" spans="1:18" ht="33.75" hidden="1" customHeight="1">
      <c r="A46" s="102" t="s">
        <v>649</v>
      </c>
      <c r="B46" s="122" t="s">
        <v>509</v>
      </c>
      <c r="C46" s="115" t="s">
        <v>375</v>
      </c>
      <c r="D46" s="103" t="s">
        <v>650</v>
      </c>
      <c r="E46" s="104" t="s">
        <v>651</v>
      </c>
      <c r="F46" s="103" t="s">
        <v>514</v>
      </c>
      <c r="G46" s="103"/>
      <c r="H46" s="103" t="s">
        <v>491</v>
      </c>
      <c r="I46" s="103"/>
      <c r="J46" s="103" t="s">
        <v>652</v>
      </c>
      <c r="K46" s="111" t="s">
        <v>507</v>
      </c>
      <c r="L46" s="103"/>
      <c r="M46" s="103" t="s">
        <v>543</v>
      </c>
      <c r="N46" s="103" t="s">
        <v>484</v>
      </c>
      <c r="O46" s="105" t="s">
        <v>485</v>
      </c>
    </row>
    <row r="47" spans="1:18" ht="33.75" hidden="1" customHeight="1">
      <c r="A47" s="106" t="s">
        <v>653</v>
      </c>
      <c r="B47" s="122" t="s">
        <v>509</v>
      </c>
      <c r="C47" s="116" t="s">
        <v>379</v>
      </c>
      <c r="D47" s="107" t="s">
        <v>136</v>
      </c>
      <c r="E47" s="108" t="s">
        <v>654</v>
      </c>
      <c r="F47" s="107" t="s">
        <v>514</v>
      </c>
      <c r="G47" s="107"/>
      <c r="H47" s="107" t="s">
        <v>491</v>
      </c>
      <c r="I47" s="107"/>
      <c r="J47" s="107" t="s">
        <v>655</v>
      </c>
      <c r="K47" s="110" t="s">
        <v>507</v>
      </c>
      <c r="L47" s="107"/>
      <c r="M47" s="107" t="s">
        <v>543</v>
      </c>
      <c r="N47" s="107" t="s">
        <v>484</v>
      </c>
      <c r="O47" s="109" t="s">
        <v>485</v>
      </c>
    </row>
    <row r="48" spans="1:18" ht="33.75" hidden="1" customHeight="1">
      <c r="A48" s="102" t="s">
        <v>656</v>
      </c>
      <c r="B48" s="122" t="s">
        <v>509</v>
      </c>
      <c r="C48" s="115" t="s">
        <v>657</v>
      </c>
      <c r="D48" s="103" t="s">
        <v>106</v>
      </c>
      <c r="E48" s="104" t="s">
        <v>658</v>
      </c>
      <c r="F48" s="103" t="s">
        <v>480</v>
      </c>
      <c r="G48" s="111" t="s">
        <v>659</v>
      </c>
      <c r="H48" s="103" t="s">
        <v>481</v>
      </c>
      <c r="I48" s="103"/>
      <c r="J48" s="103"/>
      <c r="K48" s="111" t="s">
        <v>507</v>
      </c>
      <c r="L48" s="103"/>
      <c r="M48" s="103"/>
      <c r="N48" s="103" t="s">
        <v>484</v>
      </c>
      <c r="O48" s="105" t="s">
        <v>485</v>
      </c>
    </row>
    <row r="49" spans="1:18" ht="33.75" hidden="1" customHeight="1">
      <c r="A49" s="106" t="s">
        <v>660</v>
      </c>
      <c r="B49" s="122" t="s">
        <v>509</v>
      </c>
      <c r="C49" s="117" t="s">
        <v>383</v>
      </c>
      <c r="D49" s="107" t="s">
        <v>117</v>
      </c>
      <c r="E49" s="108" t="s">
        <v>661</v>
      </c>
      <c r="F49" s="107" t="s">
        <v>480</v>
      </c>
      <c r="G49" s="107"/>
      <c r="H49" s="107" t="s">
        <v>481</v>
      </c>
      <c r="I49" s="107"/>
      <c r="J49" s="107" t="s">
        <v>662</v>
      </c>
      <c r="K49" s="110" t="s">
        <v>507</v>
      </c>
      <c r="L49" s="107"/>
      <c r="M49" s="107"/>
      <c r="N49" s="107" t="s">
        <v>484</v>
      </c>
      <c r="O49" s="109" t="s">
        <v>485</v>
      </c>
    </row>
    <row r="50" spans="1:18" ht="33.75" hidden="1" customHeight="1">
      <c r="A50" s="102" t="s">
        <v>663</v>
      </c>
      <c r="B50" s="122" t="s">
        <v>509</v>
      </c>
      <c r="C50" s="115" t="s">
        <v>401</v>
      </c>
      <c r="D50" s="103" t="s">
        <v>569</v>
      </c>
      <c r="E50" s="104" t="s">
        <v>664</v>
      </c>
      <c r="F50" s="103" t="s">
        <v>480</v>
      </c>
      <c r="G50" s="103"/>
      <c r="H50" s="103" t="s">
        <v>481</v>
      </c>
      <c r="I50" s="103"/>
      <c r="J50" s="103" t="s">
        <v>665</v>
      </c>
      <c r="K50" s="111" t="s">
        <v>507</v>
      </c>
      <c r="L50" s="103"/>
      <c r="M50" s="103"/>
      <c r="N50" s="103" t="s">
        <v>484</v>
      </c>
      <c r="O50" s="105" t="s">
        <v>485</v>
      </c>
    </row>
    <row r="51" spans="1:18" ht="33.75" customHeight="1">
      <c r="A51" s="106" t="s">
        <v>666</v>
      </c>
      <c r="C51" s="113" t="s">
        <v>667</v>
      </c>
      <c r="D51" s="103" t="s">
        <v>562</v>
      </c>
      <c r="E51" s="108" t="s">
        <v>668</v>
      </c>
      <c r="F51" s="107" t="s">
        <v>514</v>
      </c>
      <c r="G51" s="107"/>
      <c r="H51" s="107"/>
      <c r="I51" s="107"/>
      <c r="J51" s="107" t="s">
        <v>669</v>
      </c>
      <c r="K51" s="110" t="s">
        <v>507</v>
      </c>
      <c r="L51" s="107"/>
      <c r="M51" s="107" t="s">
        <v>670</v>
      </c>
      <c r="N51" s="107" t="s">
        <v>484</v>
      </c>
      <c r="O51" s="109" t="s">
        <v>485</v>
      </c>
    </row>
    <row r="52" spans="1:18" ht="33.75" hidden="1" customHeight="1">
      <c r="A52" s="102" t="s">
        <v>671</v>
      </c>
      <c r="B52" s="122" t="s">
        <v>509</v>
      </c>
      <c r="C52" s="115" t="s">
        <v>672</v>
      </c>
      <c r="D52" s="107" t="s">
        <v>488</v>
      </c>
      <c r="E52" s="104" t="s">
        <v>673</v>
      </c>
      <c r="F52" s="103" t="s">
        <v>490</v>
      </c>
      <c r="G52" s="103"/>
      <c r="H52" s="103" t="s">
        <v>481</v>
      </c>
      <c r="I52" s="103"/>
      <c r="J52" s="103" t="s">
        <v>669</v>
      </c>
      <c r="K52" s="111" t="s">
        <v>507</v>
      </c>
      <c r="L52" s="103"/>
      <c r="M52" s="103"/>
      <c r="N52" s="103" t="s">
        <v>484</v>
      </c>
      <c r="O52" s="105" t="s">
        <v>485</v>
      </c>
      <c r="P52" s="101" t="s">
        <v>495</v>
      </c>
    </row>
    <row r="53" spans="1:18" ht="17.100000000000001" customHeight="1">
      <c r="A53" s="106" t="s">
        <v>674</v>
      </c>
      <c r="C53" s="113" t="s">
        <v>430</v>
      </c>
      <c r="D53" s="107" t="s">
        <v>488</v>
      </c>
      <c r="E53" s="108" t="s">
        <v>675</v>
      </c>
      <c r="F53" s="107" t="s">
        <v>514</v>
      </c>
      <c r="G53" s="110" t="s">
        <v>430</v>
      </c>
      <c r="H53" s="107" t="s">
        <v>491</v>
      </c>
      <c r="I53" s="107"/>
      <c r="J53" s="107" t="s">
        <v>676</v>
      </c>
      <c r="K53" s="107"/>
      <c r="L53" s="107"/>
      <c r="M53" s="107" t="s">
        <v>677</v>
      </c>
      <c r="N53" s="107" t="s">
        <v>484</v>
      </c>
      <c r="O53" s="109" t="s">
        <v>485</v>
      </c>
      <c r="R53" s="101" t="s">
        <v>603</v>
      </c>
    </row>
    <row r="54" spans="1:18" ht="33.75" hidden="1" customHeight="1">
      <c r="A54" s="102" t="s">
        <v>678</v>
      </c>
      <c r="B54" s="122" t="s">
        <v>509</v>
      </c>
      <c r="C54" s="115" t="s">
        <v>679</v>
      </c>
      <c r="D54" s="107" t="s">
        <v>488</v>
      </c>
      <c r="E54" s="104" t="s">
        <v>680</v>
      </c>
      <c r="F54" s="103" t="s">
        <v>480</v>
      </c>
      <c r="G54" s="103"/>
      <c r="H54" s="103" t="s">
        <v>481</v>
      </c>
      <c r="I54" s="103"/>
      <c r="J54" s="103" t="s">
        <v>681</v>
      </c>
      <c r="K54" s="111" t="s">
        <v>507</v>
      </c>
      <c r="L54" s="103"/>
      <c r="M54" s="103"/>
      <c r="N54" s="103" t="s">
        <v>484</v>
      </c>
      <c r="O54" s="105" t="s">
        <v>485</v>
      </c>
    </row>
    <row r="55" spans="1:18" ht="17.100000000000001" customHeight="1">
      <c r="A55" s="106" t="s">
        <v>682</v>
      </c>
      <c r="C55" s="113" t="s">
        <v>440</v>
      </c>
      <c r="D55" s="107" t="s">
        <v>488</v>
      </c>
      <c r="E55" s="108" t="s">
        <v>683</v>
      </c>
      <c r="F55" s="107" t="s">
        <v>514</v>
      </c>
      <c r="G55" s="107"/>
      <c r="H55" s="107" t="s">
        <v>491</v>
      </c>
      <c r="I55" s="107"/>
      <c r="J55" s="107" t="s">
        <v>652</v>
      </c>
      <c r="K55" s="110" t="s">
        <v>507</v>
      </c>
      <c r="L55" s="107"/>
      <c r="M55" s="107" t="s">
        <v>543</v>
      </c>
      <c r="N55" s="107" t="s">
        <v>484</v>
      </c>
      <c r="O55" s="109" t="s">
        <v>485</v>
      </c>
      <c r="R55" s="101" t="s">
        <v>496</v>
      </c>
    </row>
    <row r="56" spans="1:18" ht="17.100000000000001" customHeight="1">
      <c r="A56" s="102" t="s">
        <v>684</v>
      </c>
      <c r="C56" s="118" t="s">
        <v>445</v>
      </c>
      <c r="D56" s="103" t="s">
        <v>499</v>
      </c>
      <c r="E56" s="104" t="s">
        <v>685</v>
      </c>
      <c r="F56" s="103" t="s">
        <v>514</v>
      </c>
      <c r="G56" s="103"/>
      <c r="H56" s="103" t="s">
        <v>491</v>
      </c>
      <c r="I56" s="107" t="s">
        <v>686</v>
      </c>
      <c r="J56" s="103" t="s">
        <v>80</v>
      </c>
      <c r="K56" s="111" t="s">
        <v>507</v>
      </c>
      <c r="L56" s="103"/>
      <c r="M56" s="103" t="s">
        <v>687</v>
      </c>
      <c r="N56" s="103" t="s">
        <v>484</v>
      </c>
      <c r="O56" s="105" t="s">
        <v>485</v>
      </c>
      <c r="R56" s="101" t="s">
        <v>496</v>
      </c>
    </row>
    <row r="57" spans="1:18" ht="33.75" hidden="1" customHeight="1">
      <c r="A57" s="106" t="s">
        <v>688</v>
      </c>
      <c r="B57" s="122" t="s">
        <v>509</v>
      </c>
      <c r="C57" s="116" t="s">
        <v>454</v>
      </c>
      <c r="D57" s="107" t="s">
        <v>136</v>
      </c>
      <c r="E57" s="108" t="s">
        <v>689</v>
      </c>
      <c r="F57" s="107" t="s">
        <v>514</v>
      </c>
      <c r="G57" s="107"/>
      <c r="H57" s="107" t="s">
        <v>491</v>
      </c>
      <c r="I57" s="107"/>
      <c r="J57" s="107" t="s">
        <v>690</v>
      </c>
      <c r="K57" s="110" t="s">
        <v>507</v>
      </c>
      <c r="L57" s="107"/>
      <c r="M57" s="107" t="s">
        <v>543</v>
      </c>
      <c r="N57" s="107" t="s">
        <v>484</v>
      </c>
      <c r="O57" s="109" t="s">
        <v>485</v>
      </c>
    </row>
  </sheetData>
  <autoFilter ref="A1:R57" xr:uid="{20261525-5FF3-4EBF-BC0C-4959B6085BB7}">
    <filterColumn colId="1">
      <filters blank="1"/>
    </filterColumn>
  </autoFilter>
  <hyperlinks>
    <hyperlink ref="K5" r:id="rId1" xr:uid="{2EBFBD42-953F-44A6-BD1F-92ECCA658C0A}"/>
    <hyperlink ref="K6" r:id="rId2" xr:uid="{7E20841B-32EF-411D-974B-ED86B1FB9A12}"/>
    <hyperlink ref="K7" r:id="rId3" xr:uid="{036AFD6F-B2C8-4914-9434-79FEEA1551F9}"/>
    <hyperlink ref="K8" r:id="rId4" xr:uid="{C5D83695-7CBE-4DD0-9E89-44D06E227141}"/>
    <hyperlink ref="K9" r:id="rId5" xr:uid="{0BCADC3B-9109-4FE4-A4C7-3C849E636451}"/>
    <hyperlink ref="K10" r:id="rId6" xr:uid="{3E72E5AA-F5FF-4E2A-810E-A62188AE3F83}"/>
    <hyperlink ref="K11" r:id="rId7" xr:uid="{CB7FD455-2379-44B3-A960-3ED3E4DAF540}"/>
    <hyperlink ref="K12" r:id="rId8" xr:uid="{263C4078-FB6A-4E2E-B0FF-6D8A0BF28132}"/>
    <hyperlink ref="K13" r:id="rId9" xr:uid="{CCF9F306-C299-4A96-92D0-4F58E27A37FE}"/>
    <hyperlink ref="K14" r:id="rId10" xr:uid="{F2EDDE20-BD10-4E5B-927E-4D976250786F}"/>
    <hyperlink ref="K15" r:id="rId11" xr:uid="{3713E6B9-388D-4065-B44E-87E532ACC189}"/>
    <hyperlink ref="K16" r:id="rId12" xr:uid="{EEF95372-9467-48BD-809B-6918EBF74869}"/>
    <hyperlink ref="K17" r:id="rId13" xr:uid="{04764AEA-0C9C-4A30-A29B-290892BAD621}"/>
    <hyperlink ref="G18" r:id="rId14" xr:uid="{6A2A35ED-B3D8-4CE0-8F94-5EA66D814179}"/>
    <hyperlink ref="K18" r:id="rId15" xr:uid="{90BD45EA-C41A-4E4D-A981-86D2EB63FBE7}"/>
    <hyperlink ref="K19" r:id="rId16" xr:uid="{6DF31A5E-408E-4F23-8DE6-9D552470081F}"/>
    <hyperlink ref="G20" r:id="rId17" xr:uid="{9501DD60-1C36-49A7-8631-E4575B494044}"/>
    <hyperlink ref="K21" r:id="rId18" xr:uid="{7D310CA4-A0E9-404D-94DA-83964B1AF4EF}"/>
    <hyperlink ref="K22" r:id="rId19" xr:uid="{3EB0D51E-4C7A-4F64-809C-AE7242CB49DA}"/>
    <hyperlink ref="K23" r:id="rId20" xr:uid="{3A5CE407-8708-40C8-BCCF-4F8C32552265}"/>
    <hyperlink ref="K24" r:id="rId21" xr:uid="{2D78F42C-AB45-411F-A756-FD211D306DBF}"/>
    <hyperlink ref="K25" r:id="rId22" xr:uid="{81870443-998C-4F48-B23F-616AF3C07DF3}"/>
    <hyperlink ref="K26" r:id="rId23" xr:uid="{DBBEEB4C-9B72-46B2-A15B-C06E705168C2}"/>
    <hyperlink ref="K27" r:id="rId24" xr:uid="{503B8A00-7951-40D8-9F96-6787DF5387DE}"/>
    <hyperlink ref="G28" r:id="rId25" xr:uid="{0669F807-C7B1-4770-B311-794F14752A6A}"/>
    <hyperlink ref="K29" r:id="rId26" xr:uid="{5BD1CE0B-7EEB-48CC-A52F-D0FEEB573887}"/>
    <hyperlink ref="K30" r:id="rId27" xr:uid="{098D7CB4-1732-429F-A825-013EB04FC65A}"/>
    <hyperlink ref="K31" r:id="rId28" xr:uid="{506109AE-094F-43F1-956F-150CC96A8F3B}"/>
    <hyperlink ref="K32" r:id="rId29" xr:uid="{B7A62E1C-9554-4AF4-8FC7-CDFEA25D79DA}"/>
    <hyperlink ref="K33" r:id="rId30" xr:uid="{A085CFFD-DA38-4091-AC57-68E0C7624F0B}"/>
    <hyperlink ref="K34" r:id="rId31" xr:uid="{C97E670C-466D-488E-A710-3F3630940CE6}"/>
    <hyperlink ref="K35" r:id="rId32" xr:uid="{CEB80ACB-020B-4264-A161-06ACD2DDBC80}"/>
    <hyperlink ref="K36" r:id="rId33" xr:uid="{78A03EDB-02AD-41FF-99D1-AB35DE95C575}"/>
    <hyperlink ref="K37" r:id="rId34" xr:uid="{334EBD20-66FB-49F0-B63A-AFE18B24A0BD}"/>
    <hyperlink ref="K38" r:id="rId35" xr:uid="{BE2D9027-4BAA-4050-97AE-C5556E80BFCE}"/>
    <hyperlink ref="K40" r:id="rId36" xr:uid="{71B4AF72-F1E8-4EA2-9CE0-33DF87F609EB}"/>
    <hyperlink ref="K41" r:id="rId37" xr:uid="{6F6071BD-6660-4F3E-ACEE-5CFCA46D761C}"/>
    <hyperlink ref="K42" r:id="rId38" xr:uid="{02B95092-6DE0-4711-9EBF-4AFBCF121E0D}"/>
    <hyperlink ref="K43" r:id="rId39" xr:uid="{BFE061E0-7059-45CF-AED2-79DA1A072DD7}"/>
    <hyperlink ref="K44" r:id="rId40" xr:uid="{767BC7A4-FF41-4A80-ABB8-95F041033BA9}"/>
    <hyperlink ref="K45" r:id="rId41" xr:uid="{8707C061-EC90-42DC-B296-AC19398C6287}"/>
    <hyperlink ref="K46" r:id="rId42" xr:uid="{715E6002-96E3-42C1-B3E8-05D79D78F782}"/>
    <hyperlink ref="K47" r:id="rId43" xr:uid="{8C92F44D-92D4-48AE-A4DB-F63EFD9177D8}"/>
    <hyperlink ref="G48" r:id="rId44" xr:uid="{A25F942E-20F5-44A8-BBEB-03784E0CCAF3}"/>
    <hyperlink ref="K48" r:id="rId45" xr:uid="{427B8032-00AB-49A3-B068-F3185DE4FFB7}"/>
    <hyperlink ref="K49" r:id="rId46" xr:uid="{81F019C2-88C4-48D1-9E1B-9A51AFAD2D0A}"/>
    <hyperlink ref="K50" r:id="rId47" xr:uid="{C4E461C4-2FE4-49D8-B1BE-13CB6A07741A}"/>
    <hyperlink ref="K51" r:id="rId48" xr:uid="{C1D8DC24-87D0-4727-9E58-41BEAF2E5930}"/>
    <hyperlink ref="K52" r:id="rId49" xr:uid="{0FC3AF9A-B0E7-4294-97BD-3AEA38709D9D}"/>
    <hyperlink ref="G53" r:id="rId50" xr:uid="{135EF4A9-C927-478D-96BB-716DE5319CE2}"/>
    <hyperlink ref="K54" r:id="rId51" xr:uid="{10815A93-67A3-416A-B618-FFFD61C8A420}"/>
    <hyperlink ref="K55" r:id="rId52" xr:uid="{AAC92042-98F6-4DA6-9832-7907AC7F1009}"/>
    <hyperlink ref="K56" r:id="rId53" xr:uid="{A84DE3DC-A808-4B88-B6D4-10980B76CA5B}"/>
    <hyperlink ref="K57" r:id="rId54" xr:uid="{28C2441F-AE44-416E-8B5E-BFDC2C8D937A}"/>
    <hyperlink ref="K3" r:id="rId55" xr:uid="{D43BA414-D60E-4BC1-B414-E59A01897AB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43F75-F4A9-48B1-873D-DB3E0396557A}">
  <dimension ref="A1:I83"/>
  <sheetViews>
    <sheetView topLeftCell="D78" zoomScale="80" zoomScaleNormal="80" workbookViewId="0">
      <selection activeCell="O19" sqref="O19"/>
    </sheetView>
  </sheetViews>
  <sheetFormatPr defaultColWidth="8.85546875" defaultRowHeight="14.45"/>
  <cols>
    <col min="1" max="1" width="12.42578125" style="43" customWidth="1"/>
    <col min="2" max="2" width="16.42578125" customWidth="1"/>
    <col min="3" max="3" width="20.42578125" customWidth="1"/>
    <col min="4" max="4" width="95.85546875" style="42" customWidth="1"/>
    <col min="5" max="5" width="17.42578125" customWidth="1"/>
    <col min="6" max="6" width="1.42578125" customWidth="1"/>
    <col min="7" max="7" width="14.42578125" customWidth="1"/>
  </cols>
  <sheetData>
    <row r="1" spans="1:9" ht="32.450000000000003" customHeight="1">
      <c r="A1" s="46" t="s">
        <v>691</v>
      </c>
      <c r="H1" s="47" t="s">
        <v>692</v>
      </c>
      <c r="I1" s="47" t="s">
        <v>693</v>
      </c>
    </row>
    <row r="2" spans="1:9">
      <c r="A2" s="48" t="s">
        <v>694</v>
      </c>
      <c r="B2" s="49" t="s">
        <v>695</v>
      </c>
      <c r="C2" s="49" t="s">
        <v>696</v>
      </c>
      <c r="D2" s="50" t="s">
        <v>697</v>
      </c>
      <c r="E2" s="51" t="s">
        <v>1</v>
      </c>
      <c r="H2" s="47">
        <f>COUNTIF(E3:E64,"New")</f>
        <v>10</v>
      </c>
      <c r="I2" s="47">
        <f>COUNTIF(E3:E64,"Existing")</f>
        <v>22</v>
      </c>
    </row>
    <row r="3" spans="1:9">
      <c r="A3" s="43">
        <v>1</v>
      </c>
      <c r="B3" s="136" t="s">
        <v>698</v>
      </c>
      <c r="C3" s="52" t="s">
        <v>699</v>
      </c>
      <c r="D3" s="42" t="s">
        <v>700</v>
      </c>
      <c r="E3" t="s">
        <v>693</v>
      </c>
      <c r="G3" s="53"/>
    </row>
    <row r="4" spans="1:9">
      <c r="A4" s="43">
        <v>2</v>
      </c>
      <c r="B4" s="136"/>
      <c r="C4" t="s">
        <v>701</v>
      </c>
      <c r="D4" s="42" t="s">
        <v>702</v>
      </c>
      <c r="E4" t="s">
        <v>701</v>
      </c>
      <c r="G4" s="53"/>
    </row>
    <row r="5" spans="1:9" ht="14.45" customHeight="1">
      <c r="A5" s="43">
        <v>3</v>
      </c>
      <c r="B5" s="136"/>
      <c r="C5" t="s">
        <v>701</v>
      </c>
      <c r="D5" s="42" t="s">
        <v>703</v>
      </c>
      <c r="E5" t="s">
        <v>701</v>
      </c>
      <c r="G5" s="53"/>
    </row>
    <row r="6" spans="1:9">
      <c r="A6" s="43">
        <v>4</v>
      </c>
      <c r="B6" s="136"/>
      <c r="C6" t="s">
        <v>699</v>
      </c>
      <c r="D6" s="42" t="s">
        <v>704</v>
      </c>
      <c r="E6" t="s">
        <v>692</v>
      </c>
    </row>
    <row r="7" spans="1:9">
      <c r="A7" s="43">
        <v>5</v>
      </c>
      <c r="B7" s="136"/>
      <c r="C7" t="s">
        <v>699</v>
      </c>
      <c r="D7" s="42" t="s">
        <v>705</v>
      </c>
      <c r="E7" t="s">
        <v>693</v>
      </c>
    </row>
    <row r="8" spans="1:9">
      <c r="A8" s="43">
        <v>6</v>
      </c>
      <c r="B8" s="136"/>
      <c r="C8" t="s">
        <v>699</v>
      </c>
      <c r="D8" s="42" t="s">
        <v>706</v>
      </c>
      <c r="E8" t="s">
        <v>693</v>
      </c>
    </row>
    <row r="9" spans="1:9">
      <c r="A9" s="43">
        <v>7</v>
      </c>
      <c r="B9" s="136"/>
      <c r="C9" t="s">
        <v>699</v>
      </c>
      <c r="D9" s="42" t="s">
        <v>707</v>
      </c>
      <c r="E9" t="s">
        <v>693</v>
      </c>
    </row>
    <row r="10" spans="1:9">
      <c r="A10" s="43">
        <v>8</v>
      </c>
      <c r="B10" s="136"/>
      <c r="C10" t="s">
        <v>699</v>
      </c>
      <c r="D10" s="42" t="s">
        <v>708</v>
      </c>
      <c r="E10" t="s">
        <v>693</v>
      </c>
    </row>
    <row r="11" spans="1:9">
      <c r="A11" s="43">
        <v>9</v>
      </c>
      <c r="B11" s="136"/>
      <c r="C11" t="s">
        <v>699</v>
      </c>
      <c r="D11" s="42" t="s">
        <v>709</v>
      </c>
      <c r="E11" t="s">
        <v>693</v>
      </c>
    </row>
    <row r="12" spans="1:9" ht="14.45" customHeight="1">
      <c r="A12" s="43">
        <v>10</v>
      </c>
      <c r="B12" s="137" t="s">
        <v>710</v>
      </c>
      <c r="C12" s="52" t="s">
        <v>701</v>
      </c>
      <c r="D12" s="42" t="s">
        <v>711</v>
      </c>
      <c r="E12" t="s">
        <v>701</v>
      </c>
    </row>
    <row r="13" spans="1:9">
      <c r="A13" s="43">
        <v>11</v>
      </c>
      <c r="B13" s="137"/>
      <c r="C13" t="s">
        <v>699</v>
      </c>
      <c r="D13" s="42" t="s">
        <v>712</v>
      </c>
      <c r="E13" t="s">
        <v>692</v>
      </c>
    </row>
    <row r="14" spans="1:9">
      <c r="A14" s="43">
        <v>12</v>
      </c>
      <c r="B14" s="137"/>
      <c r="C14" t="s">
        <v>701</v>
      </c>
      <c r="D14" s="42" t="s">
        <v>713</v>
      </c>
      <c r="E14" t="s">
        <v>701</v>
      </c>
    </row>
    <row r="15" spans="1:9">
      <c r="A15" s="43">
        <v>13</v>
      </c>
      <c r="B15" s="137"/>
      <c r="C15" s="52" t="s">
        <v>699</v>
      </c>
      <c r="D15" s="54" t="s">
        <v>714</v>
      </c>
      <c r="E15" t="s">
        <v>692</v>
      </c>
      <c r="G15" s="52"/>
    </row>
    <row r="16" spans="1:9">
      <c r="A16" s="43">
        <v>14</v>
      </c>
      <c r="B16" s="137"/>
      <c r="C16" t="s">
        <v>699</v>
      </c>
      <c r="D16" s="42" t="s">
        <v>715</v>
      </c>
      <c r="E16" t="s">
        <v>693</v>
      </c>
    </row>
    <row r="17" spans="1:9">
      <c r="A17" s="43">
        <v>15</v>
      </c>
      <c r="B17" s="137"/>
      <c r="C17" t="s">
        <v>701</v>
      </c>
      <c r="D17" s="42" t="s">
        <v>716</v>
      </c>
      <c r="E17" t="s">
        <v>701</v>
      </c>
    </row>
    <row r="18" spans="1:9" ht="17.45" customHeight="1">
      <c r="A18" s="43">
        <v>16</v>
      </c>
      <c r="B18" s="137" t="s">
        <v>717</v>
      </c>
      <c r="C18" s="52" t="s">
        <v>701</v>
      </c>
      <c r="D18" s="42" t="s">
        <v>718</v>
      </c>
      <c r="E18" t="s">
        <v>701</v>
      </c>
      <c r="G18" s="43" t="s">
        <v>719</v>
      </c>
      <c r="H18" t="s">
        <v>701</v>
      </c>
      <c r="I18" t="s">
        <v>699</v>
      </c>
    </row>
    <row r="19" spans="1:9">
      <c r="A19" s="43">
        <v>17</v>
      </c>
      <c r="B19" s="137"/>
      <c r="C19" t="s">
        <v>699</v>
      </c>
      <c r="D19" s="42" t="s">
        <v>720</v>
      </c>
      <c r="E19" t="s">
        <v>692</v>
      </c>
      <c r="H19">
        <f>COUNTIF(C18:C27,"Build")</f>
        <v>2</v>
      </c>
      <c r="I19">
        <f>COUNTIF(C18:C27,"Buy")</f>
        <v>8</v>
      </c>
    </row>
    <row r="20" spans="1:9">
      <c r="A20" s="43">
        <v>18</v>
      </c>
      <c r="B20" s="137"/>
      <c r="C20" s="52" t="s">
        <v>699</v>
      </c>
      <c r="D20" s="42" t="s">
        <v>721</v>
      </c>
      <c r="E20" t="s">
        <v>692</v>
      </c>
      <c r="H20" s="55">
        <f>H19/(I19+H19)</f>
        <v>0.2</v>
      </c>
      <c r="I20" s="55">
        <f>I19/(H19+I19)</f>
        <v>0.8</v>
      </c>
    </row>
    <row r="21" spans="1:9">
      <c r="A21" s="43">
        <v>19</v>
      </c>
      <c r="B21" s="137"/>
      <c r="C21" s="52" t="s">
        <v>699</v>
      </c>
      <c r="D21" s="42" t="s">
        <v>722</v>
      </c>
      <c r="E21" t="s">
        <v>693</v>
      </c>
    </row>
    <row r="22" spans="1:9">
      <c r="A22" s="43">
        <v>20</v>
      </c>
      <c r="B22" s="137"/>
      <c r="C22" t="s">
        <v>701</v>
      </c>
      <c r="D22" s="42" t="s">
        <v>723</v>
      </c>
      <c r="E22" t="s">
        <v>701</v>
      </c>
    </row>
    <row r="23" spans="1:9">
      <c r="A23" s="43">
        <v>21</v>
      </c>
      <c r="B23" s="137"/>
      <c r="C23" s="52" t="s">
        <v>699</v>
      </c>
      <c r="D23" s="42" t="s">
        <v>724</v>
      </c>
      <c r="E23" t="s">
        <v>693</v>
      </c>
    </row>
    <row r="24" spans="1:9">
      <c r="A24" s="43">
        <v>22</v>
      </c>
      <c r="B24" s="137"/>
      <c r="C24" t="s">
        <v>699</v>
      </c>
      <c r="D24" s="42" t="s">
        <v>725</v>
      </c>
      <c r="E24" t="s">
        <v>693</v>
      </c>
    </row>
    <row r="25" spans="1:9">
      <c r="A25" s="43">
        <v>23</v>
      </c>
      <c r="B25" s="137"/>
      <c r="C25" t="s">
        <v>699</v>
      </c>
      <c r="D25" s="42" t="s">
        <v>726</v>
      </c>
      <c r="E25" t="s">
        <v>692</v>
      </c>
    </row>
    <row r="26" spans="1:9">
      <c r="A26" s="43">
        <v>24</v>
      </c>
      <c r="B26" s="137"/>
      <c r="C26" t="s">
        <v>699</v>
      </c>
      <c r="D26" s="42" t="s">
        <v>727</v>
      </c>
      <c r="E26" t="s">
        <v>692</v>
      </c>
    </row>
    <row r="27" spans="1:9">
      <c r="A27" s="43">
        <v>25</v>
      </c>
      <c r="B27" s="137"/>
      <c r="C27" t="s">
        <v>699</v>
      </c>
      <c r="D27" s="42" t="s">
        <v>728</v>
      </c>
      <c r="E27" t="s">
        <v>693</v>
      </c>
    </row>
    <row r="28" spans="1:9">
      <c r="A28" s="43">
        <v>26</v>
      </c>
      <c r="B28" s="137" t="s">
        <v>729</v>
      </c>
      <c r="C28" t="s">
        <v>701</v>
      </c>
      <c r="D28" s="42" t="s">
        <v>730</v>
      </c>
      <c r="E28" t="s">
        <v>701</v>
      </c>
    </row>
    <row r="29" spans="1:9">
      <c r="A29" s="43">
        <v>27</v>
      </c>
      <c r="B29" s="137"/>
      <c r="C29" t="s">
        <v>701</v>
      </c>
      <c r="D29" s="42" t="s">
        <v>731</v>
      </c>
      <c r="E29" t="s">
        <v>701</v>
      </c>
    </row>
    <row r="30" spans="1:9">
      <c r="A30" s="43">
        <v>28</v>
      </c>
      <c r="B30" s="137"/>
      <c r="C30" t="s">
        <v>701</v>
      </c>
      <c r="D30" s="42" t="s">
        <v>732</v>
      </c>
      <c r="E30" t="s">
        <v>701</v>
      </c>
    </row>
    <row r="31" spans="1:9">
      <c r="A31" s="43">
        <v>29</v>
      </c>
      <c r="B31" s="137"/>
      <c r="C31" t="s">
        <v>699</v>
      </c>
      <c r="D31" s="42" t="s">
        <v>733</v>
      </c>
      <c r="E31" t="s">
        <v>693</v>
      </c>
    </row>
    <row r="32" spans="1:9">
      <c r="A32" s="43">
        <v>30</v>
      </c>
      <c r="B32" s="137"/>
      <c r="C32" t="s">
        <v>699</v>
      </c>
      <c r="D32" s="42" t="s">
        <v>734</v>
      </c>
      <c r="E32" t="s">
        <v>693</v>
      </c>
      <c r="G32" s="43" t="s">
        <v>735</v>
      </c>
      <c r="H32" t="s">
        <v>701</v>
      </c>
      <c r="I32" t="s">
        <v>699</v>
      </c>
    </row>
    <row r="33" spans="1:9">
      <c r="A33" s="43">
        <v>31</v>
      </c>
      <c r="B33" s="137"/>
      <c r="C33" s="52" t="s">
        <v>701</v>
      </c>
      <c r="D33" s="42" t="s">
        <v>736</v>
      </c>
      <c r="E33" t="s">
        <v>701</v>
      </c>
      <c r="H33">
        <f>COUNTIF(C28:C40,"Build")</f>
        <v>8</v>
      </c>
      <c r="I33">
        <f>COUNTIF(C28:C40,"Buy")</f>
        <v>5</v>
      </c>
    </row>
    <row r="34" spans="1:9">
      <c r="A34" s="43">
        <v>32</v>
      </c>
      <c r="B34" s="137"/>
      <c r="C34" s="52" t="s">
        <v>699</v>
      </c>
      <c r="D34" s="54" t="s">
        <v>737</v>
      </c>
      <c r="E34" t="s">
        <v>693</v>
      </c>
      <c r="H34" s="55">
        <f>H33/(I33+H33)</f>
        <v>0.61538461538461542</v>
      </c>
      <c r="I34" s="55">
        <f>I33/(H33+I33)</f>
        <v>0.38461538461538464</v>
      </c>
    </row>
    <row r="35" spans="1:9" ht="15" customHeight="1">
      <c r="A35" s="43">
        <v>33</v>
      </c>
      <c r="B35" s="137"/>
      <c r="C35" s="52" t="s">
        <v>701</v>
      </c>
      <c r="D35" s="54" t="s">
        <v>738</v>
      </c>
      <c r="E35" t="s">
        <v>701</v>
      </c>
      <c r="G35" s="57"/>
    </row>
    <row r="36" spans="1:9">
      <c r="A36" s="43">
        <v>34</v>
      </c>
      <c r="B36" s="137"/>
      <c r="C36" s="52" t="s">
        <v>701</v>
      </c>
      <c r="D36" s="54" t="s">
        <v>739</v>
      </c>
      <c r="E36" s="58" t="s">
        <v>701</v>
      </c>
      <c r="G36" s="52"/>
    </row>
    <row r="37" spans="1:9">
      <c r="A37" s="43">
        <v>35</v>
      </c>
      <c r="B37" s="137"/>
      <c r="C37" s="52" t="s">
        <v>699</v>
      </c>
      <c r="D37" s="54" t="s">
        <v>740</v>
      </c>
      <c r="E37" s="58" t="s">
        <v>693</v>
      </c>
      <c r="G37" s="52"/>
    </row>
    <row r="38" spans="1:9">
      <c r="A38" s="43">
        <v>36</v>
      </c>
      <c r="B38" s="137"/>
      <c r="C38" s="52" t="s">
        <v>699</v>
      </c>
      <c r="D38" s="54" t="s">
        <v>741</v>
      </c>
      <c r="E38" s="58" t="s">
        <v>693</v>
      </c>
      <c r="G38" s="52"/>
    </row>
    <row r="39" spans="1:9">
      <c r="A39" s="43">
        <v>37</v>
      </c>
      <c r="B39" s="137"/>
      <c r="C39" s="52" t="s">
        <v>701</v>
      </c>
      <c r="D39" s="54" t="s">
        <v>742</v>
      </c>
      <c r="E39" s="58" t="s">
        <v>701</v>
      </c>
      <c r="G39" s="52"/>
    </row>
    <row r="40" spans="1:9">
      <c r="A40" s="43">
        <v>38</v>
      </c>
      <c r="B40" s="137"/>
      <c r="C40" s="52" t="s">
        <v>701</v>
      </c>
      <c r="D40" s="54" t="s">
        <v>743</v>
      </c>
      <c r="E40" s="58" t="s">
        <v>701</v>
      </c>
      <c r="G40" s="52"/>
    </row>
    <row r="41" spans="1:9" ht="14.45" customHeight="1">
      <c r="A41" s="43">
        <v>39</v>
      </c>
      <c r="B41" s="137" t="s">
        <v>744</v>
      </c>
      <c r="C41" s="52" t="s">
        <v>699</v>
      </c>
      <c r="D41" s="42" t="s">
        <v>745</v>
      </c>
      <c r="E41" t="s">
        <v>693</v>
      </c>
    </row>
    <row r="42" spans="1:9">
      <c r="A42" s="43">
        <v>40</v>
      </c>
      <c r="B42" s="137"/>
      <c r="C42" t="s">
        <v>701</v>
      </c>
      <c r="D42" s="42" t="s">
        <v>746</v>
      </c>
      <c r="E42" t="s">
        <v>701</v>
      </c>
    </row>
    <row r="43" spans="1:9">
      <c r="A43" s="43">
        <v>41</v>
      </c>
      <c r="B43" s="137"/>
      <c r="C43" t="s">
        <v>701</v>
      </c>
      <c r="D43" s="42" t="s">
        <v>747</v>
      </c>
      <c r="E43" t="s">
        <v>701</v>
      </c>
    </row>
    <row r="44" spans="1:9">
      <c r="A44" s="43">
        <v>42</v>
      </c>
      <c r="B44" s="137"/>
      <c r="C44" s="52" t="s">
        <v>701</v>
      </c>
      <c r="D44" s="42" t="s">
        <v>748</v>
      </c>
      <c r="E44" t="s">
        <v>701</v>
      </c>
    </row>
    <row r="45" spans="1:9">
      <c r="A45" s="43">
        <v>43</v>
      </c>
      <c r="B45" s="137"/>
      <c r="C45" t="s">
        <v>699</v>
      </c>
      <c r="D45" s="42" t="s">
        <v>749</v>
      </c>
      <c r="E45" t="s">
        <v>693</v>
      </c>
    </row>
    <row r="46" spans="1:9">
      <c r="A46" s="43">
        <v>44</v>
      </c>
      <c r="B46" s="137"/>
      <c r="C46" t="s">
        <v>699</v>
      </c>
      <c r="D46" s="42" t="s">
        <v>750</v>
      </c>
      <c r="E46" t="s">
        <v>693</v>
      </c>
    </row>
    <row r="47" spans="1:9">
      <c r="A47" s="43">
        <v>45</v>
      </c>
      <c r="B47" s="137"/>
      <c r="C47" t="s">
        <v>699</v>
      </c>
      <c r="D47" s="42" t="s">
        <v>751</v>
      </c>
      <c r="E47" t="s">
        <v>693</v>
      </c>
    </row>
    <row r="48" spans="1:9">
      <c r="A48" s="43">
        <v>46</v>
      </c>
      <c r="B48" s="137"/>
      <c r="C48" t="s">
        <v>699</v>
      </c>
      <c r="D48" s="42" t="s">
        <v>752</v>
      </c>
      <c r="E48" t="s">
        <v>692</v>
      </c>
    </row>
    <row r="49" spans="1:7" ht="14.45" customHeight="1">
      <c r="A49" s="43">
        <v>47</v>
      </c>
      <c r="B49" s="137"/>
      <c r="C49" s="52" t="s">
        <v>701</v>
      </c>
      <c r="D49" s="59" t="s">
        <v>753</v>
      </c>
      <c r="E49" t="s">
        <v>701</v>
      </c>
      <c r="G49" s="57"/>
    </row>
    <row r="50" spans="1:7" ht="14.45" customHeight="1">
      <c r="A50" s="43">
        <v>48</v>
      </c>
      <c r="B50" s="137" t="s">
        <v>754</v>
      </c>
      <c r="C50" s="52" t="s">
        <v>701</v>
      </c>
      <c r="D50" s="42" t="s">
        <v>755</v>
      </c>
      <c r="E50" s="52" t="s">
        <v>701</v>
      </c>
    </row>
    <row r="51" spans="1:7" ht="15.75" customHeight="1">
      <c r="A51" s="43">
        <v>49</v>
      </c>
      <c r="B51" s="137"/>
      <c r="C51" s="52" t="s">
        <v>701</v>
      </c>
      <c r="D51" s="42" t="s">
        <v>756</v>
      </c>
      <c r="E51" s="52" t="s">
        <v>701</v>
      </c>
    </row>
    <row r="52" spans="1:7">
      <c r="A52" s="43">
        <v>50</v>
      </c>
      <c r="B52" s="137"/>
      <c r="C52" s="52" t="s">
        <v>701</v>
      </c>
      <c r="D52" s="42" t="s">
        <v>757</v>
      </c>
      <c r="E52" s="52" t="s">
        <v>701</v>
      </c>
    </row>
    <row r="53" spans="1:7">
      <c r="A53" s="43">
        <v>51</v>
      </c>
      <c r="B53" s="137"/>
      <c r="C53" s="52" t="s">
        <v>701</v>
      </c>
      <c r="D53" s="42" t="s">
        <v>758</v>
      </c>
      <c r="E53" s="52" t="s">
        <v>701</v>
      </c>
    </row>
    <row r="54" spans="1:7">
      <c r="A54" s="43">
        <v>52</v>
      </c>
      <c r="B54" s="137"/>
      <c r="C54" t="s">
        <v>701</v>
      </c>
      <c r="D54" s="42" t="s">
        <v>759</v>
      </c>
      <c r="E54" t="s">
        <v>701</v>
      </c>
    </row>
    <row r="55" spans="1:7">
      <c r="A55" s="43">
        <v>53</v>
      </c>
      <c r="B55" s="137"/>
      <c r="C55" t="s">
        <v>760</v>
      </c>
      <c r="D55" s="42" t="s">
        <v>761</v>
      </c>
      <c r="E55" t="s">
        <v>693</v>
      </c>
    </row>
    <row r="56" spans="1:7">
      <c r="A56" s="43">
        <v>54</v>
      </c>
      <c r="B56" s="137"/>
      <c r="C56" t="s">
        <v>701</v>
      </c>
      <c r="D56" s="42" t="s">
        <v>762</v>
      </c>
      <c r="E56" t="s">
        <v>701</v>
      </c>
    </row>
    <row r="57" spans="1:7">
      <c r="A57" s="43">
        <v>55</v>
      </c>
      <c r="B57" s="137"/>
      <c r="C57" s="52" t="s">
        <v>699</v>
      </c>
      <c r="D57" s="54" t="s">
        <v>763</v>
      </c>
      <c r="E57" t="s">
        <v>692</v>
      </c>
      <c r="G57" s="56"/>
    </row>
    <row r="58" spans="1:7">
      <c r="A58" s="43">
        <v>56</v>
      </c>
      <c r="B58" s="137"/>
      <c r="C58" t="s">
        <v>699</v>
      </c>
      <c r="D58" s="42" t="s">
        <v>764</v>
      </c>
      <c r="E58" t="s">
        <v>693</v>
      </c>
    </row>
    <row r="59" spans="1:7">
      <c r="A59" s="43">
        <v>57</v>
      </c>
      <c r="B59" s="137"/>
      <c r="C59" t="s">
        <v>765</v>
      </c>
      <c r="D59" s="42" t="s">
        <v>766</v>
      </c>
      <c r="E59" t="s">
        <v>692</v>
      </c>
    </row>
    <row r="60" spans="1:7">
      <c r="A60" s="43">
        <v>58</v>
      </c>
      <c r="B60" s="137"/>
      <c r="C60" t="s">
        <v>701</v>
      </c>
      <c r="D60" s="42" t="s">
        <v>767</v>
      </c>
      <c r="E60" t="s">
        <v>701</v>
      </c>
    </row>
    <row r="61" spans="1:7">
      <c r="A61" s="43">
        <v>59</v>
      </c>
      <c r="B61" s="137"/>
      <c r="C61" t="s">
        <v>701</v>
      </c>
      <c r="D61" s="42" t="s">
        <v>768</v>
      </c>
      <c r="E61" t="s">
        <v>701</v>
      </c>
    </row>
    <row r="62" spans="1:7" s="44" customFormat="1">
      <c r="A62" s="43">
        <v>60</v>
      </c>
      <c r="B62" s="135" t="s">
        <v>769</v>
      </c>
      <c r="C62" s="58" t="s">
        <v>701</v>
      </c>
      <c r="D62" s="42" t="s">
        <v>770</v>
      </c>
      <c r="E62" s="58" t="s">
        <v>701</v>
      </c>
    </row>
    <row r="63" spans="1:7" s="44" customFormat="1">
      <c r="A63" s="43">
        <v>61</v>
      </c>
      <c r="B63" s="135"/>
      <c r="C63" s="58" t="s">
        <v>701</v>
      </c>
      <c r="D63" s="42" t="s">
        <v>771</v>
      </c>
      <c r="E63" s="58" t="s">
        <v>701</v>
      </c>
    </row>
    <row r="64" spans="1:7" s="44" customFormat="1">
      <c r="A64" s="43">
        <v>62</v>
      </c>
      <c r="B64" s="135"/>
      <c r="C64" s="58" t="s">
        <v>699</v>
      </c>
      <c r="D64" s="42" t="s">
        <v>772</v>
      </c>
      <c r="E64" s="58" t="s">
        <v>699</v>
      </c>
    </row>
    <row r="65" spans="1:7">
      <c r="B65" s="60" t="s">
        <v>773</v>
      </c>
      <c r="C65" s="52" t="s">
        <v>699</v>
      </c>
      <c r="D65" s="54" t="s">
        <v>774</v>
      </c>
      <c r="E65" t="s">
        <v>693</v>
      </c>
      <c r="G65" s="52" t="s">
        <v>775</v>
      </c>
    </row>
    <row r="66" spans="1:7">
      <c r="B66" s="60" t="s">
        <v>776</v>
      </c>
      <c r="C66" s="52" t="s">
        <v>699</v>
      </c>
      <c r="D66" s="54" t="s">
        <v>777</v>
      </c>
      <c r="E66" t="s">
        <v>693</v>
      </c>
      <c r="G66" s="52" t="s">
        <v>778</v>
      </c>
    </row>
    <row r="67" spans="1:7">
      <c r="B67" s="43"/>
      <c r="C67" s="52"/>
      <c r="D67" s="54"/>
      <c r="G67" s="52"/>
    </row>
    <row r="68" spans="1:7">
      <c r="B68" s="43"/>
      <c r="C68" s="52"/>
      <c r="D68" s="54"/>
      <c r="G68" s="52"/>
    </row>
    <row r="69" spans="1:7">
      <c r="B69" s="43"/>
      <c r="C69" s="52"/>
      <c r="D69" s="54"/>
      <c r="G69" s="52"/>
    </row>
    <row r="70" spans="1:7">
      <c r="B70" s="43"/>
      <c r="C70" s="52"/>
      <c r="D70" s="54"/>
      <c r="G70" s="52"/>
    </row>
    <row r="71" spans="1:7">
      <c r="B71" s="43"/>
      <c r="C71" s="52"/>
      <c r="D71" s="54"/>
      <c r="G71" s="52"/>
    </row>
    <row r="72" spans="1:7">
      <c r="B72" s="43"/>
      <c r="C72" s="52"/>
      <c r="D72" s="54"/>
      <c r="G72" s="52"/>
    </row>
    <row r="73" spans="1:7" ht="15" customHeight="1">
      <c r="B73" s="43"/>
      <c r="C73" s="52"/>
      <c r="D73" s="61"/>
    </row>
    <row r="74" spans="1:7" s="44" customFormat="1">
      <c r="A74" s="62"/>
      <c r="B74" s="63"/>
      <c r="C74" s="58"/>
      <c r="D74" s="42"/>
    </row>
    <row r="75" spans="1:7">
      <c r="B75" s="64"/>
      <c r="C75" s="56"/>
    </row>
    <row r="76" spans="1:7" ht="15.75" customHeight="1">
      <c r="B76" s="65"/>
      <c r="C76" s="66"/>
    </row>
    <row r="77" spans="1:7">
      <c r="B77" s="65"/>
      <c r="C77" s="66"/>
    </row>
    <row r="78" spans="1:7">
      <c r="B78" s="65"/>
      <c r="C78" s="66"/>
    </row>
    <row r="80" spans="1:7">
      <c r="B80" s="65"/>
      <c r="C80" s="66"/>
    </row>
    <row r="81" spans="2:3">
      <c r="B81" s="65"/>
      <c r="C81" s="66"/>
    </row>
    <row r="82" spans="2:3">
      <c r="B82" s="65"/>
    </row>
    <row r="83" spans="2:3">
      <c r="C83" s="66"/>
    </row>
  </sheetData>
  <mergeCells count="7">
    <mergeCell ref="B62:B64"/>
    <mergeCell ref="B3:B11"/>
    <mergeCell ref="B12:B17"/>
    <mergeCell ref="B18:B27"/>
    <mergeCell ref="B28:B40"/>
    <mergeCell ref="B41:B49"/>
    <mergeCell ref="B50:B6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65A9D-C42F-4B3D-B52D-D8D8F7450B75}">
  <sheetPr codeName="Sheet3"/>
  <dimension ref="B1:G15"/>
  <sheetViews>
    <sheetView workbookViewId="0">
      <selection activeCell="F13" sqref="F13"/>
    </sheetView>
  </sheetViews>
  <sheetFormatPr defaultColWidth="8.42578125" defaultRowHeight="14.45"/>
  <cols>
    <col min="1" max="1" width="1.42578125" style="11" customWidth="1"/>
    <col min="2" max="2" width="15" style="11" customWidth="1"/>
    <col min="3" max="3" width="14.85546875" style="11" customWidth="1"/>
    <col min="4" max="4" width="21.42578125" style="11" customWidth="1"/>
    <col min="5" max="16384" width="8.42578125" style="11"/>
  </cols>
  <sheetData>
    <row r="1" spans="2:7" ht="8.4499999999999993" customHeight="1"/>
    <row r="2" spans="2:7">
      <c r="B2" s="13" t="s">
        <v>12</v>
      </c>
      <c r="C2" s="13" t="s">
        <v>779</v>
      </c>
      <c r="D2" s="13" t="s">
        <v>463</v>
      </c>
      <c r="E2" s="13" t="s">
        <v>780</v>
      </c>
      <c r="F2" s="13" t="s">
        <v>781</v>
      </c>
      <c r="G2" s="13"/>
    </row>
    <row r="3" spans="2:7">
      <c r="B3" s="11" t="s">
        <v>58</v>
      </c>
      <c r="C3" s="11" t="s">
        <v>34</v>
      </c>
      <c r="D3" s="12" t="s">
        <v>782</v>
      </c>
      <c r="E3" s="11" t="s">
        <v>50</v>
      </c>
      <c r="F3" s="11" t="s">
        <v>783</v>
      </c>
      <c r="G3" s="18" t="s">
        <v>784</v>
      </c>
    </row>
    <row r="4" spans="2:7">
      <c r="B4" s="11" t="s">
        <v>33</v>
      </c>
      <c r="C4" s="11" t="s">
        <v>105</v>
      </c>
      <c r="D4" s="12" t="s">
        <v>785</v>
      </c>
      <c r="E4" s="11" t="s">
        <v>39</v>
      </c>
      <c r="F4" s="11" t="s">
        <v>52</v>
      </c>
      <c r="G4" s="18" t="s">
        <v>786</v>
      </c>
    </row>
    <row r="5" spans="2:7">
      <c r="C5" s="11" t="s">
        <v>787</v>
      </c>
      <c r="D5" s="12" t="s">
        <v>788</v>
      </c>
      <c r="E5" s="11" t="s">
        <v>95</v>
      </c>
      <c r="F5" s="11" t="s">
        <v>140</v>
      </c>
      <c r="G5" s="18" t="s">
        <v>789</v>
      </c>
    </row>
    <row r="6" spans="2:7">
      <c r="D6" s="12" t="s">
        <v>790</v>
      </c>
      <c r="F6" s="11" t="s">
        <v>95</v>
      </c>
    </row>
    <row r="7" spans="2:7">
      <c r="D7" s="12" t="s">
        <v>791</v>
      </c>
    </row>
    <row r="8" spans="2:7">
      <c r="D8" s="12" t="s">
        <v>792</v>
      </c>
    </row>
    <row r="9" spans="2:7">
      <c r="D9" s="12" t="s">
        <v>263</v>
      </c>
    </row>
    <row r="10" spans="2:7">
      <c r="D10" s="12" t="s">
        <v>78</v>
      </c>
    </row>
    <row r="11" spans="2:7">
      <c r="D11" s="12" t="s">
        <v>793</v>
      </c>
    </row>
    <row r="12" spans="2:7">
      <c r="D12" s="12"/>
    </row>
    <row r="13" spans="2:7">
      <c r="D13" s="12"/>
    </row>
    <row r="14" spans="2:7">
      <c r="D14" s="12"/>
    </row>
    <row r="15" spans="2:7">
      <c r="D15" s="1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88B30-0562-4236-8416-44BAC428C7CD}">
  <sheetPr codeName="Sheet4"/>
  <dimension ref="A1:B15"/>
  <sheetViews>
    <sheetView workbookViewId="0">
      <selection activeCell="A2" sqref="A2:A15"/>
    </sheetView>
  </sheetViews>
  <sheetFormatPr defaultColWidth="8.85546875" defaultRowHeight="14.45"/>
  <cols>
    <col min="1" max="1" width="30.85546875" customWidth="1"/>
    <col min="2" max="2" width="129.42578125" customWidth="1"/>
  </cols>
  <sheetData>
    <row r="1" spans="1:2" ht="15.95" thickBot="1">
      <c r="A1" s="2" t="s">
        <v>794</v>
      </c>
      <c r="B1" s="2" t="s">
        <v>795</v>
      </c>
    </row>
    <row r="2" spans="1:2" ht="32.1" thickTop="1" thickBot="1">
      <c r="A2" s="3" t="s">
        <v>782</v>
      </c>
      <c r="B2" s="3" t="s">
        <v>796</v>
      </c>
    </row>
    <row r="3" spans="1:2" ht="15.95" thickBot="1">
      <c r="A3" s="4" t="s">
        <v>785</v>
      </c>
      <c r="B3" s="4" t="s">
        <v>797</v>
      </c>
    </row>
    <row r="4" spans="1:2" ht="15.95" thickBot="1">
      <c r="A4" s="5" t="s">
        <v>788</v>
      </c>
      <c r="B4" s="5" t="s">
        <v>798</v>
      </c>
    </row>
    <row r="5" spans="1:2" ht="15.95" thickBot="1">
      <c r="A5" s="4" t="s">
        <v>799</v>
      </c>
      <c r="B5" s="4" t="s">
        <v>800</v>
      </c>
    </row>
    <row r="6" spans="1:2" ht="15.95" thickBot="1">
      <c r="A6" s="5" t="s">
        <v>75</v>
      </c>
      <c r="B6" s="5" t="s">
        <v>801</v>
      </c>
    </row>
    <row r="7" spans="1:2" ht="15.95" thickBot="1">
      <c r="A7" s="4" t="s">
        <v>791</v>
      </c>
      <c r="B7" s="4" t="s">
        <v>802</v>
      </c>
    </row>
    <row r="8" spans="1:2" ht="15.95" thickBot="1">
      <c r="A8" s="5" t="s">
        <v>792</v>
      </c>
      <c r="B8" s="5" t="s">
        <v>803</v>
      </c>
    </row>
    <row r="9" spans="1:2" ht="15.95" thickBot="1">
      <c r="A9" s="4" t="s">
        <v>263</v>
      </c>
      <c r="B9" s="4" t="s">
        <v>804</v>
      </c>
    </row>
    <row r="10" spans="1:2" ht="15.95" thickBot="1">
      <c r="A10" s="5" t="s">
        <v>805</v>
      </c>
      <c r="B10" s="5" t="s">
        <v>806</v>
      </c>
    </row>
    <row r="11" spans="1:2" ht="15.95" thickBot="1">
      <c r="A11" s="4" t="s">
        <v>807</v>
      </c>
      <c r="B11" s="4" t="s">
        <v>808</v>
      </c>
    </row>
    <row r="12" spans="1:2" ht="15.95" thickBot="1">
      <c r="A12" s="5" t="s">
        <v>117</v>
      </c>
      <c r="B12" s="5" t="s">
        <v>809</v>
      </c>
    </row>
    <row r="13" spans="1:2" ht="15.95" thickBot="1">
      <c r="A13" s="4" t="s">
        <v>810</v>
      </c>
      <c r="B13" s="4" t="s">
        <v>811</v>
      </c>
    </row>
    <row r="14" spans="1:2" ht="15.95" thickBot="1">
      <c r="A14" s="5" t="s">
        <v>812</v>
      </c>
      <c r="B14" s="5" t="s">
        <v>813</v>
      </c>
    </row>
    <row r="15" spans="1:2" ht="15.95" thickBot="1">
      <c r="A15" s="4" t="s">
        <v>814</v>
      </c>
      <c r="B15" s="4" t="s">
        <v>815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65A4-1CA6-40FE-B01A-A3FC92A411D3}">
  <dimension ref="A2:C9"/>
  <sheetViews>
    <sheetView tabSelected="1" workbookViewId="0">
      <selection activeCell="A4" sqref="A4:A8"/>
    </sheetView>
  </sheetViews>
  <sheetFormatPr defaultRowHeight="15"/>
  <cols>
    <col min="1" max="1" width="36.140625" bestFit="1" customWidth="1"/>
    <col min="2" max="3" width="11.42578125" bestFit="1" customWidth="1"/>
    <col min="4" max="4" width="8.28515625" bestFit="1" customWidth="1"/>
    <col min="5" max="5" width="10.140625" bestFit="1" customWidth="1"/>
    <col min="6" max="6" width="18.5703125" bestFit="1" customWidth="1"/>
    <col min="7" max="7" width="11.42578125" bestFit="1" customWidth="1"/>
  </cols>
  <sheetData>
    <row r="2" spans="1:3">
      <c r="A2" s="128" t="s">
        <v>816</v>
      </c>
      <c r="B2" s="128" t="s">
        <v>461</v>
      </c>
    </row>
    <row r="3" spans="1:3">
      <c r="A3" s="128" t="s">
        <v>463</v>
      </c>
      <c r="B3" t="s">
        <v>817</v>
      </c>
      <c r="C3" t="s">
        <v>818</v>
      </c>
    </row>
    <row r="4" spans="1:3">
      <c r="A4" t="s">
        <v>562</v>
      </c>
      <c r="B4">
        <v>8</v>
      </c>
      <c r="C4">
        <v>8</v>
      </c>
    </row>
    <row r="5" spans="1:3">
      <c r="A5" t="s">
        <v>488</v>
      </c>
      <c r="B5">
        <v>4</v>
      </c>
      <c r="C5">
        <v>4</v>
      </c>
    </row>
    <row r="6" spans="1:3">
      <c r="A6" t="s">
        <v>499</v>
      </c>
      <c r="B6">
        <v>4</v>
      </c>
      <c r="C6">
        <v>4</v>
      </c>
    </row>
    <row r="7" spans="1:3">
      <c r="A7" t="s">
        <v>569</v>
      </c>
      <c r="B7">
        <v>3</v>
      </c>
      <c r="C7">
        <v>3</v>
      </c>
    </row>
    <row r="8" spans="1:3">
      <c r="A8" t="s">
        <v>554</v>
      </c>
      <c r="B8">
        <v>2</v>
      </c>
      <c r="C8">
        <v>2</v>
      </c>
    </row>
    <row r="9" spans="1:3">
      <c r="A9" t="s">
        <v>818</v>
      </c>
      <c r="B9">
        <v>21</v>
      </c>
      <c r="C9">
        <v>21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4ec91e9-541c-411b-bdd1-d7123b1d2977" xsi:nil="true"/>
    <lcf76f155ced4ddcb4097134ff3c332f xmlns="d3751f8f-ed11-437b-9ec2-3023401e81a8">
      <Terms xmlns="http://schemas.microsoft.com/office/infopath/2007/PartnerControls"/>
    </lcf76f155ced4ddcb4097134ff3c332f>
    <a3ba18e56de34a899f3f13214db4e133 xmlns="d3751f8f-ed11-437b-9ec2-3023401e81a8">
      <Terms xmlns="http://schemas.microsoft.com/office/infopath/2007/PartnerControls"/>
    </a3ba18e56de34a899f3f13214db4e133>
    <Tags xmlns="d3751f8f-ed11-437b-9ec2-3023401e81a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20F87BBD2E2E74B86F87ADD2089E528" ma:contentTypeVersion="19" ma:contentTypeDescription="Create a new document." ma:contentTypeScope="" ma:versionID="c689630f9ec60ed4017067ffb8c849a0">
  <xsd:schema xmlns:xsd="http://www.w3.org/2001/XMLSchema" xmlns:xs="http://www.w3.org/2001/XMLSchema" xmlns:p="http://schemas.microsoft.com/office/2006/metadata/properties" xmlns:ns2="d3751f8f-ed11-437b-9ec2-3023401e81a8" xmlns:ns3="c4ec91e9-541c-411b-bdd1-d7123b1d2977" targetNamespace="http://schemas.microsoft.com/office/2006/metadata/properties" ma:root="true" ma:fieldsID="ac85462bac48fb8a1a62fd116b99e94d" ns2:_="" ns3:_="">
    <xsd:import namespace="d3751f8f-ed11-437b-9ec2-3023401e81a8"/>
    <xsd:import namespace="c4ec91e9-541c-411b-bdd1-d7123b1d297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element ref="ns2:a3ba18e56de34a899f3f13214db4e133" minOccurs="0"/>
                <xsd:element ref="ns2: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751f8f-ed11-437b-9ec2-3023401e81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940c914-643f-4df2-b20a-c5bc47cd009d"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a3ba18e56de34a899f3f13214db4e133" ma:index="25" nillable="true" ma:taxonomy="true" ma:internalName="a3ba18e56de34a899f3f13214db4e133" ma:taxonomyFieldName="Test" ma:displayName="Test" ma:default="" ma:fieldId="{a3ba18e5-6de3-4a89-9f3f-13214db4e133}" ma:sspId="1940c914-643f-4df2-b20a-c5bc47cd009d" ma:termSetId="3d098f09-2a29-4a01-b630-c4d8bd8bc0dd" ma:anchorId="747432d3-17b4-4ff6-bfaf-e4d743dab734" ma:open="false" ma:isKeyword="false">
      <xsd:complexType>
        <xsd:sequence>
          <xsd:element ref="pc:Terms" minOccurs="0" maxOccurs="1"/>
        </xsd:sequence>
      </xsd:complexType>
    </xsd:element>
    <xsd:element name="Tags" ma:index="26" nillable="true" ma:displayName="Tags" ma:format="Dropdown" ma:internalName="Tag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4ec91e9-541c-411b-bdd1-d7123b1d297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33633328-a32b-40d9-8d1f-ac793c9b05dc}" ma:internalName="TaxCatchAll" ma:showField="CatchAllData" ma:web="c4ec91e9-541c-411b-bdd1-d7123b1d297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4B7FCAD-382F-4C0B-B970-BEA0996D7243}"/>
</file>

<file path=customXml/itemProps2.xml><?xml version="1.0" encoding="utf-8"?>
<ds:datastoreItem xmlns:ds="http://schemas.openxmlformats.org/officeDocument/2006/customXml" ds:itemID="{8AA8EF2D-013E-4EFE-A40C-933950A4A817}"/>
</file>

<file path=customXml/itemProps3.xml><?xml version="1.0" encoding="utf-8"?>
<ds:datastoreItem xmlns:ds="http://schemas.openxmlformats.org/officeDocument/2006/customXml" ds:itemID="{19C8463D-0F81-40A9-8979-86969525169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Vlach, Sandra M</cp:lastModifiedBy>
  <cp:revision/>
  <dcterms:created xsi:type="dcterms:W3CDTF">2024-11-07T23:12:49Z</dcterms:created>
  <dcterms:modified xsi:type="dcterms:W3CDTF">2026-04-29T20:52:32Z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0x010100D20F87BBD2E2E74B86F87ADD2089E528</vt:lpwstr>
  </property>
  <property fmtid="{D5CDD505-2E9C-101B-9397-08002B2CF9AE}" pid="3" name="MediaServiceImageTags">
    <vt:lpwstr/>
  </property>
  <property fmtid="{D5CDD505-2E9C-101B-9397-08002B2CF9AE}" pid="4" name="Test">
    <vt:lpwstr/>
  </property>
</Properties>
</file>